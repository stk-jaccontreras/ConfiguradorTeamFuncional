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softtek-my.sharepoint.com/personal/oswaldo_perez_softtek_com/Documents/Documents/01_Proyectos/03_Santander/IAClaude/odin-configurador-productos/Area de Trabajo/"/>
    </mc:Choice>
  </mc:AlternateContent>
  <xr:revisionPtr revIDLastSave="397" documentId="8_{B2AFE421-D0D5-49FD-A9CE-3B71EAE15CBB}" xr6:coauthVersionLast="47" xr6:coauthVersionMax="47" xr10:uidLastSave="{F932F664-5854-4E2D-9A5D-43D2B7634D61}"/>
  <bookViews>
    <workbookView xWindow="32805" yWindow="2220" windowWidth="23295" windowHeight="12045" tabRatio="879" xr2:uid="{00000000-000D-0000-FFFF-FFFF00000000}"/>
  </bookViews>
  <sheets>
    <sheet name="Producto" sheetId="1" r:id="rId1"/>
    <sheet name="Planes" sheetId="2" r:id="rId2"/>
    <sheet name="Coberturas &amp; Asistencias" sheetId="3" r:id="rId3"/>
    <sheet name="ModeloNegocio" sheetId="6" r:id="rId4"/>
    <sheet name="Tarifas" sheetId="7" r:id="rId5"/>
    <sheet name="Suscripción " sheetId="4" r:id="rId6"/>
    <sheet name="Renovación" sheetId="5" r:id="rId7"/>
    <sheet name="Siniestros" sheetId="9" r:id="rId8"/>
    <sheet name="Contabilidad" sheetId="10" r:id="rId9"/>
    <sheet name="Cobranza" sheetId="11" r:id="rId10"/>
    <sheet name="Compliance (PLD)" sheetId="12" r:id="rId11"/>
    <sheet name="Comercial" sheetId="8" r:id="rId12"/>
    <sheet name="Revisión &amp; Aprobación" sheetId="13" r:id="rId13"/>
    <sheet name="Validación CNSF" sheetId="14" r:id="rId14"/>
    <sheet name="Reglas_Cotizador" sheetId="15" r:id="rId15"/>
    <sheet name="Diccionario_Entrada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Manuel Medrano Sánchez</author>
  </authors>
  <commentList>
    <comment ref="D18" authorId="0" shapeId="0" xr:uid="{00000000-0006-0000-0E00-000001000000}">
      <text>
        <r>
          <rPr>
            <sz val="11"/>
            <color theme="1"/>
            <rFont val="Aptos Narrow"/>
            <family val="2"/>
            <scheme val="minor"/>
          </rPr>
          <t>Brandon Manuel Medrano Sánchez:
Con los datos recibidos, se evalúan las condiciones definidas por negocio para identificar qué tarifa corresponde a la cotización.</t>
        </r>
      </text>
    </comment>
    <comment ref="D27" authorId="0" shapeId="0" xr:uid="{00000000-0006-0000-0E00-000002000000}">
      <text>
        <r>
          <rPr>
            <sz val="11"/>
            <color theme="1"/>
            <rFont val="Aptos Narrow"/>
            <family val="2"/>
            <scheme val="minor"/>
          </rPr>
          <t>Brandon Manuel Medrano Sánchez:
Nota: Los parámetros mostrados son un ejemplo. Se requiere definir con negocio cuáles son las condiciones reales que determinan la tarifa para cada producto/cotizador</t>
        </r>
      </text>
    </comment>
  </commentList>
</comments>
</file>

<file path=xl/sharedStrings.xml><?xml version="1.0" encoding="utf-8"?>
<sst xmlns="http://schemas.openxmlformats.org/spreadsheetml/2006/main" count="1677" uniqueCount="757">
  <si>
    <t>CATALOGOS</t>
  </si>
  <si>
    <t xml:space="preserve">Cátalogo (Subramo) </t>
  </si>
  <si>
    <t xml:space="preserve">Subramo </t>
  </si>
  <si>
    <t>Alcance comercial</t>
  </si>
  <si>
    <t>Individual</t>
  </si>
  <si>
    <t xml:space="preserve">Open Market </t>
  </si>
  <si>
    <t xml:space="preserve">Colectivo </t>
  </si>
  <si>
    <t>Credit Related</t>
  </si>
  <si>
    <t>Campo</t>
  </si>
  <si>
    <t xml:space="preserve">Tipo de campo </t>
  </si>
  <si>
    <t xml:space="preserve">Editable? </t>
  </si>
  <si>
    <t xml:space="preserve">Obligatorio </t>
  </si>
  <si>
    <t xml:space="preserve">Valores del catalogo </t>
  </si>
  <si>
    <t xml:space="preserve">Cátalogo (Familia Principal) </t>
  </si>
  <si>
    <t>Producto</t>
  </si>
  <si>
    <t>Accidentes y enfermedades</t>
  </si>
  <si>
    <t xml:space="preserve">Clave Técnica: </t>
  </si>
  <si>
    <t xml:space="preserve">Campo de texto </t>
  </si>
  <si>
    <t xml:space="preserve">Sí </t>
  </si>
  <si>
    <t>Sí</t>
  </si>
  <si>
    <t>Daños</t>
  </si>
  <si>
    <t xml:space="preserve">Nombre Técnico: </t>
  </si>
  <si>
    <t>Vida</t>
  </si>
  <si>
    <t xml:space="preserve">Descripción del producto: </t>
  </si>
  <si>
    <t xml:space="preserve">Catalogo Ramo </t>
  </si>
  <si>
    <t>Familia</t>
  </si>
  <si>
    <t>Ramo</t>
  </si>
  <si>
    <t xml:space="preserve">Clasificación del producto </t>
  </si>
  <si>
    <t>Accidentes personales.</t>
  </si>
  <si>
    <t>Familia Principal</t>
  </si>
  <si>
    <t>Gastos médicos.</t>
  </si>
  <si>
    <t xml:space="preserve">Alcance Comercial </t>
  </si>
  <si>
    <t xml:space="preserve">Condición </t>
  </si>
  <si>
    <t>No</t>
  </si>
  <si>
    <t xml:space="preserve">Se llena en automatico </t>
  </si>
  <si>
    <t>Salud.</t>
  </si>
  <si>
    <t xml:space="preserve">Ramo </t>
  </si>
  <si>
    <t>Condición Cátalogo (Ramo)</t>
  </si>
  <si>
    <t>Selección</t>
  </si>
  <si>
    <t>Regla: Buscar lo que se agrego en familia y mostrar lo que tiene el campo de Ramo, el campo será multiselección</t>
  </si>
  <si>
    <t>Responsabilidad civil y riesgos profesionales.</t>
  </si>
  <si>
    <t>Moneda</t>
  </si>
  <si>
    <t xml:space="preserve">Cátalogo </t>
  </si>
  <si>
    <t>Mxn</t>
  </si>
  <si>
    <t>Automóviles.</t>
  </si>
  <si>
    <t>Temporalidad</t>
  </si>
  <si>
    <t>Condición Cátalogo</t>
  </si>
  <si>
    <t xml:space="preserve">Para mostrar la información 
Regla: Validar el campo de Alcance Comercial y obtener los datos del campo temporalidad. Del catalogo temporalidad
Cuando los muestre el usuario solo podra seleccionar una opción. (radio button) 
Regla 2: En caso de que el usuario seleccione Multianual el sistema debe presentar dos campos ( Unidad de tiempo que podra tener (meses o años) y el valor </t>
  </si>
  <si>
    <t>Crédito.</t>
  </si>
  <si>
    <t xml:space="preserve">Frecuencia de pago de la prima </t>
  </si>
  <si>
    <t xml:space="preserve">Multi Selección </t>
  </si>
  <si>
    <t xml:space="preserve">Se debera validar el Alcance Comercial seleccionado y dependiendo de la selección deberá mostrar lo que se encuentra en el catalogo de Frecuencia de Pago. El usuario debera seleccionar uno o todos, incluir una opción para cualquiera del Alcance Comercial para poder seleccionar todos y deseleccionar todos. </t>
  </si>
  <si>
    <t>Crédito a la vivienda.</t>
  </si>
  <si>
    <t xml:space="preserve">Recargos </t>
  </si>
  <si>
    <t>Solo se mostrará cuando el Alcance Comercial es: Open Market 
Por cada una se las frecuencias de pago seleccionadas, de bera dejar ingresar el % de Recargo</t>
  </si>
  <si>
    <t>Garantía financiera.</t>
  </si>
  <si>
    <t xml:space="preserve">Conductos de Cobro </t>
  </si>
  <si>
    <t xml:space="preserve">Catalogo </t>
  </si>
  <si>
    <t xml:space="preserve">Mostrar el catalogo Conductos de cobro (Multiselección ) 
Agregar un checkbox con leyenda de MSI (Meses sin Intereres)  en caso de que seleccione la opcion TDC. No debe de incluir cuantos meses sin intereses aplicaran. </t>
  </si>
  <si>
    <t>Riesgos catastróficos.</t>
  </si>
  <si>
    <t xml:space="preserve">Documentos del producto </t>
  </si>
  <si>
    <t xml:space="preserve">Muestra el catalogo en multiselección </t>
  </si>
  <si>
    <t xml:space="preserve">Multiselección </t>
  </si>
  <si>
    <t xml:space="preserve">Agregar una opcion de seleccionar todos o deseleccionarlos </t>
  </si>
  <si>
    <t xml:space="preserve">Monedas </t>
  </si>
  <si>
    <t xml:space="preserve">Descripción </t>
  </si>
  <si>
    <t>Divisas</t>
  </si>
  <si>
    <t>Pesos</t>
  </si>
  <si>
    <t xml:space="preserve">Edad minima </t>
  </si>
  <si>
    <t>Campo de texto (númerico)</t>
  </si>
  <si>
    <t>Validación hasta el 100</t>
  </si>
  <si>
    <t>Dolares</t>
  </si>
  <si>
    <t>USD</t>
  </si>
  <si>
    <t>Edad máxima</t>
  </si>
  <si>
    <t xml:space="preserve">Opcional </t>
  </si>
  <si>
    <t>Horas</t>
  </si>
  <si>
    <t>Días</t>
  </si>
  <si>
    <t>Mensual</t>
  </si>
  <si>
    <t>Anual</t>
  </si>
  <si>
    <t>Multianual</t>
  </si>
  <si>
    <t>Meses</t>
  </si>
  <si>
    <t>Multi-anual</t>
  </si>
  <si>
    <t xml:space="preserve">Ligado a vigencia de crédito </t>
  </si>
  <si>
    <t xml:space="preserve">Frecuencia de Pago </t>
  </si>
  <si>
    <t>Frecuencia</t>
  </si>
  <si>
    <t>Semanal</t>
  </si>
  <si>
    <t>Decena</t>
  </si>
  <si>
    <t xml:space="preserve">Catorcenal </t>
  </si>
  <si>
    <t>Quincenal</t>
  </si>
  <si>
    <t xml:space="preserve">Semestral </t>
  </si>
  <si>
    <t>Trimestral</t>
  </si>
  <si>
    <t xml:space="preserve">Prima Recurrente </t>
  </si>
  <si>
    <t>Prima Única</t>
  </si>
  <si>
    <t xml:space="preserve">Conductos de cobro </t>
  </si>
  <si>
    <t>Cargo a Cheques</t>
  </si>
  <si>
    <t>TC Santander</t>
  </si>
  <si>
    <t>TC Otros Bancos</t>
  </si>
  <si>
    <t>Tarjeta de débito</t>
  </si>
  <si>
    <t>Efectivo Ventanilla</t>
  </si>
  <si>
    <t>Cargo Crédito</t>
  </si>
  <si>
    <t>Domiciliación</t>
  </si>
  <si>
    <t>Amex</t>
  </si>
  <si>
    <t>Documentos</t>
  </si>
  <si>
    <t xml:space="preserve">Tipo de documento </t>
  </si>
  <si>
    <t>Documento</t>
  </si>
  <si>
    <t xml:space="preserve">Producto </t>
  </si>
  <si>
    <t>Solicitud</t>
  </si>
  <si>
    <t>Carátula</t>
  </si>
  <si>
    <t>Condiciones Generales</t>
  </si>
  <si>
    <t>Welcome Kit</t>
  </si>
  <si>
    <t>Aviso de Privacidad</t>
  </si>
  <si>
    <t>FUI</t>
  </si>
  <si>
    <t>Medios Electrónicos</t>
  </si>
  <si>
    <t>Identificación</t>
  </si>
  <si>
    <t>Comprobante Domicilio</t>
  </si>
  <si>
    <t>Catálogo (Planes)</t>
  </si>
  <si>
    <t>Notas adicionles</t>
  </si>
  <si>
    <t>Clave y Nombre del Plan</t>
  </si>
  <si>
    <t>Tipo de Suma Asegurada</t>
  </si>
  <si>
    <t>Suma Asegurada Desde</t>
  </si>
  <si>
    <t>Suma Asegurada Hasta</t>
  </si>
  <si>
    <t>Busqueda y Gestion de planes</t>
  </si>
  <si>
    <t>Plan</t>
  </si>
  <si>
    <t>Multiselección</t>
  </si>
  <si>
    <t>Si</t>
  </si>
  <si>
    <t>VMA01 - PLAN VIDA MULTIANUAL       </t>
  </si>
  <si>
    <t>Se debe poder buscar (busqueda por autocompletar)  y seleccionar el plan (asigno)</t>
  </si>
  <si>
    <t>6401 - VIDA RECOMPENSA         </t>
  </si>
  <si>
    <t xml:space="preserve">Monto Fijo </t>
  </si>
  <si>
    <t>Rango</t>
  </si>
  <si>
    <t>Campo texto (Catalogo)</t>
  </si>
  <si>
    <t>Mostrar  una tabla con los valores del catálogo de Plan seleccionado en el campo "Plan"</t>
  </si>
  <si>
    <t>VMA02 - VIDA MULTIANUAL JUPITER       </t>
  </si>
  <si>
    <t>Ninguno</t>
  </si>
  <si>
    <t>Mostrar el tipo de moneda de la suma asegurada.</t>
  </si>
  <si>
    <t>VMA13 - PLAN VIDA MULTIANUAL       </t>
  </si>
  <si>
    <t>Suma asegurada</t>
  </si>
  <si>
    <t>Campo texto</t>
  </si>
  <si>
    <t>Esta sección de valores escalonados solo se muestra cuando el tipo de plan que se quiere asignar = "Rango", en caso contrario no se muestra nada. 
Regla: Para tipo de suma asegurada Rango: El valor ingresado debe estar entre el rango de los campos del catálogo "Plan" campos suma asegurada Desde y Suma asegura Hasta y se permitira ingresar mas de un valor.
Para el tipo de suma asegurada Monto fijo: Debe ingresar el monto de la Suma Asegurada.
Para el tipo de Suma asegura Ninguno: No solicita monto de Suma asegurada</t>
  </si>
  <si>
    <t>Se debe poder ingresar varios valores (al menos 1)</t>
  </si>
  <si>
    <t>7001 - CLASICO         </t>
  </si>
  <si>
    <t>Iconos de acción por plan</t>
  </si>
  <si>
    <t>Icono de palomita Icono basura, Icono E</t>
  </si>
  <si>
    <t>7003 - TRES EN UNO       </t>
  </si>
  <si>
    <t>7005 - TRES EN UNO CON ASISTENCIA EN VIAJE   </t>
  </si>
  <si>
    <t>PRE001 - CLASICO         </t>
  </si>
  <si>
    <t>PRE002 - TRES EN UNO</t>
  </si>
  <si>
    <t>Catálogo (Coberturas)</t>
  </si>
  <si>
    <t>Búsqueda y Selección de Plan para Coberturas/Asistencia</t>
  </si>
  <si>
    <t xml:space="preserve">Selección </t>
  </si>
  <si>
    <t>Mostrar los valores selecionados en el campo Planes asignados al producto (Tabla) y permitir selecionarlos</t>
  </si>
  <si>
    <t>Asignar Cobertura al Plan</t>
  </si>
  <si>
    <t>Cobertura</t>
  </si>
  <si>
    <t>Se debe poder seleccionar la cobertura del catálogo, (Recuperar dle catálogo los campos: Clave, Nombre, Tipo, Unidad, Limite.</t>
  </si>
  <si>
    <t>Asignar al plan</t>
  </si>
  <si>
    <t xml:space="preserve">Al selecionar el boton de Asignar, se debe mostrar el valor selecionado en la tabla "Coberturas asignadas al plan" Columnas: </t>
  </si>
  <si>
    <t>Tabla: Coberturas asignadas al plan</t>
  </si>
  <si>
    <t>Clave</t>
  </si>
  <si>
    <t xml:space="preserve">Valores de la Cobertura seleccionada </t>
  </si>
  <si>
    <t>VMA14 - PLAN VIDA MULTIANUAL       </t>
  </si>
  <si>
    <t>Tipo</t>
  </si>
  <si>
    <t>Unidad</t>
  </si>
  <si>
    <t>LUC</t>
  </si>
  <si>
    <t>Check</t>
  </si>
  <si>
    <t>Límite</t>
  </si>
  <si>
    <t>Fija</t>
  </si>
  <si>
    <t>Condición</t>
  </si>
  <si>
    <t>Valores: Fija Oblig./ Opcional</t>
  </si>
  <si>
    <t>Valores:  Coaseguro, Deducible, Franquicia
Para Coaseguro y Deducible habilitar dos campos uno para capturar %  y otro para capturar Monto
Para Franquicia poner un check.</t>
  </si>
  <si>
    <t>Catálogo (Tipo limite Coberturas)</t>
  </si>
  <si>
    <t>Poner un Chek preguntando si aplica Edad Minima y Edad Maxima, 
Si aplica habilitar los campos de  edad Minima y edad Maxima.</t>
  </si>
  <si>
    <t>Catálogo (Parentesco)</t>
  </si>
  <si>
    <t>Conyuge</t>
  </si>
  <si>
    <t>Check Extencibe
Si se seleciona check de Extencible, HAbilitar el catálogo de Parentesco</t>
  </si>
  <si>
    <t>Flex</t>
  </si>
  <si>
    <t>Acciones</t>
  </si>
  <si>
    <t>Boton</t>
  </si>
  <si>
    <t xml:space="preserve">Valores Asignado / Desasignado </t>
  </si>
  <si>
    <t>Min</t>
  </si>
  <si>
    <t>Subcoberturas / Coberturas Adicionales</t>
  </si>
  <si>
    <t>Max</t>
  </si>
  <si>
    <t>Agregar Nueva Subcobertura al Plan</t>
  </si>
  <si>
    <t xml:space="preserve">Nombre Subcobertura </t>
  </si>
  <si>
    <t>Límite (Moneda)</t>
  </si>
  <si>
    <t>Eventos Max</t>
  </si>
  <si>
    <t>Opcional</t>
  </si>
  <si>
    <t>Periodo</t>
  </si>
  <si>
    <t>Valores: Por año de Poliza, Por Evento, Semestral, Mensual</t>
  </si>
  <si>
    <t>Guardar Subcobertura</t>
  </si>
  <si>
    <t>Genera tabla con los valores Capturados, Columnas de la tabla: ID SubCobertura, Nombre SubCobertura, Clave Cobertura Madre, Limite, Eventos, Periodo, Acciones.</t>
  </si>
  <si>
    <t>Tabla: SubCoberturas</t>
  </si>
  <si>
    <t>Tabla Subcoberturas</t>
  </si>
  <si>
    <t>Exclusiones del Plan</t>
  </si>
  <si>
    <t>Exclusiones Disponibles en Catálogo Institucional</t>
  </si>
  <si>
    <t>Catálogo Exclusiones Institucional</t>
  </si>
  <si>
    <t>Deportes de alto riesgo o extremos</t>
  </si>
  <si>
    <t>Hijos</t>
  </si>
  <si>
    <t>Asignar Exclusión</t>
  </si>
  <si>
    <t>Al seleccionar el boton de Exclusión, debe mostrar los campos en la tabla de  Exclusiones Asignadas al Plan Activo, con los campos:  Calve, Nombre de exclusión, Descripción Oficial, Deducible Aplicable ($ o %)</t>
  </si>
  <si>
    <t>Padres</t>
  </si>
  <si>
    <t>Tabla Exclusiones Asignadas al Plan Activo</t>
  </si>
  <si>
    <t>Se llena en automatico</t>
  </si>
  <si>
    <t>Nombre de exclusión</t>
  </si>
  <si>
    <t>Catálogo (Exclusiones)</t>
  </si>
  <si>
    <t>Descripción Oficial</t>
  </si>
  <si>
    <t>Deducible Aplicable ($ o %)</t>
  </si>
  <si>
    <t>Valores:  No Aplica, Monto, %
Habilitar dos campos uno para capturar %  y otro para capturar Monto
Para No aplica poner un check.</t>
  </si>
  <si>
    <t>Enfermedades preexistentes no declaradas</t>
  </si>
  <si>
    <t>Dolo o mala fe del asegurado</t>
  </si>
  <si>
    <t>Suicidio en los dos primeros años</t>
  </si>
  <si>
    <t>Epidemias o pandemias no declaradas</t>
  </si>
  <si>
    <t>Accidentes bajo influjo de alcohol o drogas</t>
  </si>
  <si>
    <t>Contaminación nuclear o radiactividad</t>
  </si>
  <si>
    <t>Riesgos laborales no declarados</t>
  </si>
  <si>
    <t>Actos de guerra, rebelión o terrorismo</t>
  </si>
  <si>
    <t>Tipo de campo</t>
  </si>
  <si>
    <t>Editable?</t>
  </si>
  <si>
    <t>Obligatorio</t>
  </si>
  <si>
    <t>Valores del catalogo / Regla</t>
  </si>
  <si>
    <t>Fuente</t>
  </si>
  <si>
    <t>Cúmulo</t>
  </si>
  <si>
    <t>Numérico (monto/moneda), abierto, editable</t>
  </si>
  <si>
    <t>Monto máximo de suma asegurada compartido entre productos con la misma cobertura (ej. Vida hasta $10,000,000); checkbox aplica/no aplica</t>
  </si>
  <si>
    <t>Edad mínima / máxima (por cobertura)</t>
  </si>
  <si>
    <t>Numérico, abierto, editable</t>
  </si>
  <si>
    <t>Sí (mínima); condicional (máxima)</t>
  </si>
  <si>
    <t>Ambas aplican en EMISIÓN; en RENOVACIÓN solo aplica la máxima (la mínima ya no aplica, la póliza ya está en cartera)</t>
  </si>
  <si>
    <t>Eventos al año (por cobertura)</t>
  </si>
  <si>
    <t>Numérico o catálogo 'sin límite'</t>
  </si>
  <si>
    <t>Puede ser un número o 'sin límite de eventos' (se agota hasta consumir la suma asegurada)</t>
  </si>
  <si>
    <t>Periodo de carencia (por cobertura)</t>
  </si>
  <si>
    <t>Numérico (días), abierto</t>
  </si>
  <si>
    <t>Sí (valor 0 si no aplica)</t>
  </si>
  <si>
    <t>Se mueve de nivel producto a nivel cobertura; 0 = no bloqueante</t>
  </si>
  <si>
    <t>Periodo de espera (por cobertura)</t>
  </si>
  <si>
    <t>Deducible / Coaseguro (por cobertura)</t>
  </si>
  <si>
    <t>Selección aplica/no aplica + monto o %</t>
  </si>
  <si>
    <t>Confirma estructura ya presente en esta hoja — sin cambio</t>
  </si>
  <si>
    <t>Tipo de límite de cobertura</t>
  </si>
  <si>
    <t>Catálogo</t>
  </si>
  <si>
    <t>Agregar valor 'Mínima' al catálogo existente (Fija/Máxima/Flex)</t>
  </si>
  <si>
    <t>Tarifa de cobertura (renombrar 'costo')</t>
  </si>
  <si>
    <t>Catálogo o abierto (cuota al millar o cuota fija)</t>
  </si>
  <si>
    <t>Monto o % de la suma asegurada base; terminología correcta es 'tarifa' o 'cuota', no 'costo' (ese término es de Asistencias)</t>
  </si>
  <si>
    <t>Costo de asistencia</t>
  </si>
  <si>
    <t>Numérico, abierto</t>
  </si>
  <si>
    <t>Condicional (algunas asistencias no llevan monto, ej. dental → 'incluida/amparada')</t>
  </si>
  <si>
    <t>Periodicidad del monto (mes/día/año) aún sin definir</t>
  </si>
  <si>
    <t>Suma asegurada (formato)</t>
  </si>
  <si>
    <t>Monto, % o texto libre/leyenda</t>
  </si>
  <si>
    <t>Puede ser monto fijo, % de suma base, o leyenda ad hoc (ej. Gadget: 'reembolso' o 'reparación') — minoritario en el catálogo actual</t>
  </si>
  <si>
    <t>Clave de cobertura</t>
  </si>
  <si>
    <t>Abierto, ligado a catálogo</t>
  </si>
  <si>
    <t>Debe corresponder a la clave de ramo contable (catálogo pendiente de que el cliente lo comparta)</t>
  </si>
  <si>
    <t>Subcobertura: solo mención de paso en la sesión más reciente ('50% de esa cobertura en esta subcobertura'), sin definición formal — sigue como lo que ya trae esta hoja, sin cambios ni cierre.</t>
  </si>
  <si>
    <t>Exclusiones: no se tocaron en ninguna de las 4 sesiones nuevas — sin cambio frente a lo que ya trae esta hoja.</t>
  </si>
  <si>
    <t>Catálogos</t>
  </si>
  <si>
    <t>Selección de Plan para Reglas de Suscripción</t>
  </si>
  <si>
    <t>Seleccione el plan</t>
  </si>
  <si>
    <t>Mostrar los valores selecionados en Planes, tabla Planes, asignados al producto (Tabla) y permitir selecionarlos</t>
  </si>
  <si>
    <t>Elegir Plan</t>
  </si>
  <si>
    <t>Configurar la regla</t>
  </si>
  <si>
    <t xml:space="preserve">Seleccionar la regla </t>
  </si>
  <si>
    <t>Catálogo (Reglas)</t>
  </si>
  <si>
    <t>Opción 1 - Validación IMC
Opción 2 - Ocupaciones de Riesgo</t>
  </si>
  <si>
    <t xml:space="preserve">Seleccionar  </t>
  </si>
  <si>
    <t>Si seleccionó Opción 1 -  Validación IMC</t>
  </si>
  <si>
    <t xml:space="preserve">Buscar validacion IMC (existente) </t>
  </si>
  <si>
    <t>Catálogo (IMC)</t>
  </si>
  <si>
    <t>ValidacionIMC_Unica</t>
  </si>
  <si>
    <t>Muestra el catálogo completo, Campos: Desde Hasta, Tipo_Riesgo, ExtraPrima, no editables</t>
  </si>
  <si>
    <t xml:space="preserve">Mostrar el resultado: </t>
  </si>
  <si>
    <t xml:space="preserve">Solo se muestra el resultado </t>
  </si>
  <si>
    <t>Opcion 1- Validación IMC - Asignar</t>
  </si>
  <si>
    <t>Ejemplo:</t>
  </si>
  <si>
    <t>Opcion Asignar</t>
  </si>
  <si>
    <t xml:space="preserve">Se asigna al producto/plan </t>
  </si>
  <si>
    <t>Si seleccionó Opción 2 - Ocupaciones de Riesgo</t>
  </si>
  <si>
    <t>Buscar Ocupaciones de Riesgo</t>
  </si>
  <si>
    <t>Catálogo (Ocipaciones Riesgos)</t>
  </si>
  <si>
    <t>Actor</t>
  </si>
  <si>
    <t>Muestra el catálogo completo, Campos: OCUPACION, ACEPTACIÓN</t>
  </si>
  <si>
    <t>Opcion 2 - Ocupaciones de Riesgo - Asignar</t>
  </si>
  <si>
    <t>Validación IMC</t>
  </si>
  <si>
    <t>Grados de IMC</t>
  </si>
  <si>
    <t>ID</t>
  </si>
  <si>
    <t xml:space="preserve">Nombre de la validación </t>
  </si>
  <si>
    <t>Desde</t>
  </si>
  <si>
    <t>Hasta</t>
  </si>
  <si>
    <t>Tipo_Riesgo</t>
  </si>
  <si>
    <t>ExtraPrima</t>
  </si>
  <si>
    <t>Rechazo</t>
  </si>
  <si>
    <t>ExtPrima</t>
  </si>
  <si>
    <t>Normal</t>
  </si>
  <si>
    <t>Opcion 1 - Asignar</t>
  </si>
  <si>
    <t>Ocupaciones</t>
  </si>
  <si>
    <t>CONTROL</t>
  </si>
  <si>
    <t>OCUPACION</t>
  </si>
  <si>
    <t>ACEPTACIÓN</t>
  </si>
  <si>
    <t>Abarrotero (Propietario/empleado)</t>
  </si>
  <si>
    <t>OK</t>
  </si>
  <si>
    <t>Abogado (ejercicio de su profesión)</t>
  </si>
  <si>
    <t>Actuario (ejercicio de su profesión)</t>
  </si>
  <si>
    <t>Adiestrador (Animales domésticos)</t>
  </si>
  <si>
    <t>Afilador</t>
  </si>
  <si>
    <t>Afinador de Pianos</t>
  </si>
  <si>
    <t>Agente de transito</t>
  </si>
  <si>
    <t>RECHAZO</t>
  </si>
  <si>
    <t>Agente judicial</t>
  </si>
  <si>
    <t>Agente PGR, PGJ</t>
  </si>
  <si>
    <t>Políticas de Renovación del Producto</t>
  </si>
  <si>
    <t>Permite renovación automática</t>
  </si>
  <si>
    <t>Si selecciona Permite renovación automática habilitar el campo Edad máxima de renovación (años)</t>
  </si>
  <si>
    <t>Edad máxima de renovación (años)</t>
  </si>
  <si>
    <t>Campo Texto</t>
  </si>
  <si>
    <t>Suma asegurada indexada</t>
  </si>
  <si>
    <t>Factor indexación SA (%)</t>
  </si>
  <si>
    <t>Factor indexación prima (%)</t>
  </si>
  <si>
    <t>% Descuento por renovación</t>
  </si>
  <si>
    <t>¿Aplica Cancelación PND (Prima No Devengada)?</t>
  </si>
  <si>
    <t>% de sanción por cancelación</t>
  </si>
  <si>
    <t>Catálogo (Tipo de Devolución por cancelación)</t>
  </si>
  <si>
    <t>Días de devengamiento</t>
  </si>
  <si>
    <t>Devolución BS</t>
  </si>
  <si>
    <t>Tipo de devolución</t>
  </si>
  <si>
    <t>Devolución ZS</t>
  </si>
  <si>
    <t> Endosos del Producto</t>
  </si>
  <si>
    <t>A petición del cliente</t>
  </si>
  <si>
    <t>Aviso de renovación</t>
  </si>
  <si>
    <t>Catálogo (canal) + numérico (días previos)</t>
  </si>
  <si>
    <t>Se configura por canal y por número de días previos a la renovación</t>
  </si>
  <si>
    <t>Actualización de tarifas/planes/parámetros al renovar</t>
  </si>
  <si>
    <t>Regla de comportamiento (no es un campo de captura)</t>
  </si>
  <si>
    <t>—</t>
  </si>
  <si>
    <t>Se actualizan a los vigentes al momento de renovar, no a los de la emisión original</t>
  </si>
  <si>
    <t>Regreso a menú Oferta al terminar captura</t>
  </si>
  <si>
    <t>Regla de flujo de pantalla</t>
  </si>
  <si>
    <t>Nota para negocio</t>
  </si>
  <si>
    <t>Los campos 'Edad maxima de renovacion', '% de sancion por cancelacion', 'Dias de devengamiento' y 'Tipo de devolucion' estan propuestos por el equipo de analisis a partir de este mismo documento de trabajo. Pendiente de definir con Producto y Cobranza si aplican y bajo que regla.</t>
  </si>
  <si>
    <t>Modelo de Negocio y Distribución de Riesgo</t>
  </si>
  <si>
    <t>Seleccion</t>
  </si>
  <si>
    <t>Catálogo (Reaseguradores)</t>
  </si>
  <si>
    <t>Directo</t>
  </si>
  <si>
    <t>Operación Directa — 100% Retención Propia</t>
  </si>
  <si>
    <t>Assurant</t>
  </si>
  <si>
    <t>Re-Aseguro</t>
  </si>
  <si>
    <t>Parámetros del Contrato de Reaseguro</t>
  </si>
  <si>
    <t>Swiss Re</t>
  </si>
  <si>
    <t>Reasegurador</t>
  </si>
  <si>
    <t>Catalogo (Reaseguradores)</t>
  </si>
  <si>
    <t>Tipo de reasegurador</t>
  </si>
  <si>
    <t>Catalogo (Tipo de Reaseguradores)</t>
  </si>
  <si>
    <t>Extranjero</t>
  </si>
  <si>
    <t>Catálogo (Tipo de Reasegurador)</t>
  </si>
  <si>
    <t>Registro RGRE (CNSF)</t>
  </si>
  <si>
    <t>País de origen</t>
  </si>
  <si>
    <t>Catalogo (Paises)</t>
  </si>
  <si>
    <t>Estados Unidos</t>
  </si>
  <si>
    <t>Nacional</t>
  </si>
  <si>
    <t>Calificación crediticia</t>
  </si>
  <si>
    <t>Intragrupo</t>
  </si>
  <si>
    <t>Número de contrato / Slip</t>
  </si>
  <si>
    <t>Modalidad de contrato</t>
  </si>
  <si>
    <t>Catálogo Modalidad de contrato)</t>
  </si>
  <si>
    <t>Cuota_Parte</t>
  </si>
  <si>
    <t>Catálogo (Pais Origen reaseguro)</t>
  </si>
  <si>
    <t>Porcentaje de cesión (%)</t>
  </si>
  <si>
    <t>Capacidad de contrato ($)</t>
  </si>
  <si>
    <t>Mexico</t>
  </si>
  <si>
    <t>Comisión de reaseguro (%)</t>
  </si>
  <si>
    <t>Participación utilidades (%)</t>
  </si>
  <si>
    <t>Catálogo (Base de Cobertura)</t>
  </si>
  <si>
    <t>Base de cobertura</t>
  </si>
  <si>
    <t>RISK_ATTACHING</t>
  </si>
  <si>
    <t>Co-Aseguro</t>
  </si>
  <si>
    <t>Parámetros de Co-Aseguro</t>
  </si>
  <si>
    <t>LOSSES_OCCURRING</t>
  </si>
  <si>
    <t>Nombre del socio comercial</t>
  </si>
  <si>
    <t>Catálogo (Socio Comercial)</t>
  </si>
  <si>
    <t>GNP Seguros</t>
  </si>
  <si>
    <t>CLAIMS_MADE</t>
  </si>
  <si>
    <t>Número de Convenio</t>
  </si>
  <si>
    <t>Rol de Zurich Santander</t>
  </si>
  <si>
    <t>Valores: Lider o Seguidor</t>
  </si>
  <si>
    <t>¿Esquema bajo el que se negoció la oferta?</t>
  </si>
  <si>
    <t>Si se selecciona Esquema bajo el que se negocio la oferta se habilitan los siguientes compos: % Coaseguro compañía (Zurich Santander) y Comisión del coaseguro (%)</t>
  </si>
  <si>
    <t>Catálogo (Modalidad de Contrato)</t>
  </si>
  <si>
    <t>% Coaseguro compañía (Zurich Santander)</t>
  </si>
  <si>
    <t>Comisión del coaseguro (%)</t>
  </si>
  <si>
    <t>Excedente</t>
  </si>
  <si>
    <t>Funciones de Coaseguro</t>
  </si>
  <si>
    <t>Facultativo</t>
  </si>
  <si>
    <t>RE&amp;CO</t>
  </si>
  <si>
    <t>Operación combinada de cesión proporcional y coaseguro bilateral</t>
  </si>
  <si>
    <t>XL_RISK (Exceso de pérdida)</t>
  </si>
  <si>
    <t>STOP_LOSS</t>
  </si>
  <si>
    <t>Axa Seguros</t>
  </si>
  <si>
    <t>Seguros Monterrey</t>
  </si>
  <si>
    <t>Qualitas</t>
  </si>
  <si>
    <t>Mapfre Mexico</t>
  </si>
  <si>
    <t>Chubb Seguros</t>
  </si>
  <si>
    <t>Nota para negocio: el detalle del reasegurador (nombre del socio, pais, modalidad de contrato, comision) se confirmo en sesion que queda FUERA del Configurador -se gestiona en un modulo aparte, porque estos contratos se renegocian cada ano-. El deducible y el coaseguro a nivel cobertura SI quedan dentro del Configurador. Pendiente cerrar el detalle final con el area de Reaseguro.</t>
  </si>
  <si>
    <t>Modalidad de tarifa</t>
  </si>
  <si>
    <t>Definida / Por algoritmo (excluyente)</t>
  </si>
  <si>
    <t>Directriz de tarifa definida</t>
  </si>
  <si>
    <t>Archivo de tarifa</t>
  </si>
  <si>
    <t>Archivo</t>
  </si>
  <si>
    <t>Condicional (Modalidad=Definida)</t>
  </si>
  <si>
    <t>Carga de archivo de tarifa</t>
  </si>
  <si>
    <t>Extraprima (% o al millar)</t>
  </si>
  <si>
    <t>Numérico</t>
  </si>
  <si>
    <t>Condicional</t>
  </si>
  <si>
    <t>Definido en módulo Administrador</t>
  </si>
  <si>
    <t>Variables del algoritmo</t>
  </si>
  <si>
    <t>Abierto</t>
  </si>
  <si>
    <t>Condicional (Modalidad=Algoritmo)</t>
  </si>
  <si>
    <t>Campos requeridos en cotización</t>
  </si>
  <si>
    <t>Fórmula del algoritmo</t>
  </si>
  <si>
    <t>Condicionantes: suma, resta, multiplicación, división</t>
  </si>
  <si>
    <t>Inputs de cada variable</t>
  </si>
  <si>
    <t>Valores de Rescate</t>
  </si>
  <si>
    <t>Archivo/layout</t>
  </si>
  <si>
    <t>Condicional (oferta=Ahorro)</t>
  </si>
  <si>
    <t>Por plazo meta y vigencia</t>
  </si>
  <si>
    <t>Cargos por Rescate</t>
  </si>
  <si>
    <t>Fondo — Perfil</t>
  </si>
  <si>
    <t>Catálogo, no editable tras creación</t>
  </si>
  <si>
    <t>Condicional (Ahorro)</t>
  </si>
  <si>
    <t>Fondo — Nombre/Tipo de Renta/Moneda/Distribución/Fee/Comisión fee/Tasa proyectada</t>
  </si>
  <si>
    <t>Abierto/Catálogo, editable tras creación</t>
  </si>
  <si>
    <t>Recargo por pago fraccionado</t>
  </si>
  <si>
    <t>% por forma de pago</t>
  </si>
  <si>
    <t>No modifica la prima neta del seguro</t>
  </si>
  <si>
    <t>Derecho de póliza</t>
  </si>
  <si>
    <t>Monto (no %)</t>
  </si>
  <si>
    <t>Puede ser cero; se define a nivel producto</t>
  </si>
  <si>
    <t>Alcance de cambio de tarifa</t>
  </si>
  <si>
    <t>Sí (al actualizar)</t>
  </si>
  <si>
    <t>Solo nuevas emisiones / también cartera vigente</t>
  </si>
  <si>
    <t>Versión de tarifa</t>
  </si>
  <si>
    <t>Sistema</t>
  </si>
  <si>
    <t>Se genera automático, no la captura el usuario</t>
  </si>
  <si>
    <t>Estado activo/inactivo</t>
  </si>
  <si>
    <t>Baja lógica, no eliminación física</t>
  </si>
  <si>
    <t>PREGUNTAS PARA NEGOCIO</t>
  </si>
  <si>
    <t>Seccion de costos de producto -- Propuesta, pendiente de verificar</t>
  </si>
  <si>
    <t>Comision a banco</t>
  </si>
  <si>
    <t>Campo numerico (%)</t>
  </si>
  <si>
    <t>Propuesta del equipo de analisis; pendiente de confirmar en la siguiente sesion de revision con Producto/Actuaria</t>
  </si>
  <si>
    <t>Nota para negocio: derecho de poliza, gastos de implementacion y gastos de administracion/adquisicion ya estan cubiertos arriba, dentro de Tarifas. Falta confirmar si conviene agruparlos en una seccion propia de costos de producto, junto con comision a banco. Otros conceptos de rentabilidad (prima cedida, reserva, comisiones de reaseguro, BAI, TAX, NPV) no tienen ninguna definicion todavia -pendiente de una sesion dedicada con Finanzas y Actuaria.</t>
  </si>
  <si>
    <t>Pendientes</t>
  </si>
  <si>
    <t>Se necesita sesión con área comercial</t>
  </si>
  <si>
    <t xml:space="preserve">¿Cuál es la relación campaña con producto? </t>
  </si>
  <si>
    <t>Gobernado por la Matriz de Roles y Permisos del proyecto.</t>
  </si>
  <si>
    <t>ESTATUS DE ALCANCE</t>
  </si>
  <si>
    <t>El Configurador solo GOBIERNA, como fuente que Siniestros consume: el catalogo de Coberturas y de Sublimites (cuya aprobacion es responsabilidad de Siniestros, no de Producto).</t>
  </si>
  <si>
    <t>No completar esta hoja con funcionalidad de ejecución de siniestros.</t>
  </si>
  <si>
    <t>Valores del catalogo</t>
  </si>
  <si>
    <t>Umbral de prima (USD) para documentacion PLD</t>
  </si>
  <si>
    <t>Campo numerico</t>
  </si>
  <si>
    <t>Valor de trabajo propuesto: 2,500 USD -pendiente de confirmacion explicita de Compliance/Legal-</t>
  </si>
  <si>
    <t>Requiere cuestionario FUI</t>
  </si>
  <si>
    <t>Derivado (automatico)</t>
  </si>
  <si>
    <t>-</t>
  </si>
  <si>
    <t>Se activa cuando la prima supera el umbral anterior</t>
  </si>
  <si>
    <t>Valida figuras del seguro</t>
  </si>
  <si>
    <t>Indicador</t>
  </si>
  <si>
    <t>Contratante / Asegurado / Beneficiario pasan por esta validacion; sin mas detalle de campos todavia</t>
  </si>
  <si>
    <t>Resumen Ejecutivo del Producto</t>
  </si>
  <si>
    <t>Matriz de Firmas y Vo.Bo. por Área</t>
  </si>
  <si>
    <t>Área Funcional</t>
  </si>
  <si>
    <t>Firmante Responsable</t>
  </si>
  <si>
    <t>Autorizador del Area, dato optenido de la matriz de autorizaciones</t>
  </si>
  <si>
    <t>Estado</t>
  </si>
  <si>
    <t>Valor tomado del Ciclo de Vida y Transición de Estados</t>
  </si>
  <si>
    <t>Fecha</t>
  </si>
  <si>
    <t>Fecha en la que se genero la autorización</t>
  </si>
  <si>
    <t>Acción</t>
  </si>
  <si>
    <t>Cambia el estatus de Pendiet</t>
  </si>
  <si>
    <t>Área Funcional (valores del catálogo)</t>
  </si>
  <si>
    <t>Analista Producto, Owner Producto, Actuarial, Suscripción, Comercial, Cobranza, Reaseguro, Contabilidad, Legal, Compliance, Siniestros, Emisión</t>
  </si>
  <si>
    <t>Firmante — 'Publicar producto'</t>
  </si>
  <si>
    <t>Único Accountable: Owner Producto (Director de producto); el resto de áreas solo se informan</t>
  </si>
  <si>
    <t>Acción (aprobar/rechazar/editar)</t>
  </si>
  <si>
    <t>Botón</t>
  </si>
  <si>
    <t>El aprobador puede regresar al Analista o editar directamente los campos faltantes por urgencia</t>
  </si>
  <si>
    <t>Nota Técnica Actuarial</t>
  </si>
  <si>
    <t>Folio interno de Nota Técnica</t>
  </si>
  <si>
    <t>Fecha de emisión de la nota</t>
  </si>
  <si>
    <t>Actuario responsable</t>
  </si>
  <si>
    <t>Cédula profesional del actuario</t>
  </si>
  <si>
    <t>URL o archivo PDF de la nota</t>
  </si>
  <si>
    <t>Condiciones generales</t>
  </si>
  <si>
    <t>Registros Regulatorios Oficiales</t>
  </si>
  <si>
    <t>Oficio de Aprobación CNSF</t>
  </si>
  <si>
    <t>Fecha de oficio CNSF</t>
  </si>
  <si>
    <t>Registro CONDUSEF (RECAS / RESBA)</t>
  </si>
  <si>
    <t>Vigencia del folio CNSF</t>
  </si>
  <si>
    <t>El folio de registro CNSF puede cambiar en vida del producto por observaciones regulatorias; no se reescribe el histórico</t>
  </si>
  <si>
    <t>Bloqueo de publicación sin registro CNSF</t>
  </si>
  <si>
    <t>No se puede publicar una versión si las condiciones generales no tienen registro/sello aprobado por CNSF</t>
  </si>
  <si>
    <t>Cláusulas obligatorias CUSF</t>
  </si>
  <si>
    <t>Las condiciones generales incluyen cláusulas obligatorias de la CUSF, no editables por el Analista de producto</t>
  </si>
  <si>
    <t>El alcance exacto y la denominacion de RECAS/CONDUSEF siguen pendientes de confirmar con el area Juridica/Cumplimiento. No tratar este registro como definitivo todavia.</t>
  </si>
  <si>
    <t>El folio de registro tiene una vigencia propia que debe capturarse, además de la fecha en que se hizo el registro</t>
  </si>
  <si>
    <t>NOTA — vínculo con el módulo de Plantillas (no existe hoja propia todavía)</t>
  </si>
  <si>
    <t>1.- Endpoint:</t>
  </si>
  <si>
    <t>2.-REQUEST</t>
  </si>
  <si>
    <t>ESTANDAR</t>
  </si>
  <si>
    <t>/configurador/calcularCotizacion/v1</t>
  </si>
  <si>
    <t>Id Producto</t>
  </si>
  <si>
    <t>idProducto</t>
  </si>
  <si>
    <t>idCotizador</t>
  </si>
  <si>
    <t>versionRegla</t>
  </si>
  <si>
    <t>Lógica</t>
  </si>
  <si>
    <t>Id Cotizador</t>
  </si>
  <si>
    <t>COT_VIDA_MULTIANUAL</t>
  </si>
  <si>
    <t>v1</t>
  </si>
  <si>
    <t>Reglas Vida Multianual</t>
  </si>
  <si>
    <t>Versión Regla</t>
  </si>
  <si>
    <t>COT_VIDA_INDIVIDUAL</t>
  </si>
  <si>
    <t>Reglas Vida Individual</t>
  </si>
  <si>
    <t>Vida Individual Multianual</t>
  </si>
  <si>
    <t>COT_AUTO</t>
  </si>
  <si>
    <t>Reglas Auto</t>
  </si>
  <si>
    <t>Tipo movimiento</t>
  </si>
  <si>
    <t>Emisión</t>
  </si>
  <si>
    <t>Fecha cotización</t>
  </si>
  <si>
    <t>Fecha nacimiento</t>
  </si>
  <si>
    <t>27/06/2002</t>
  </si>
  <si>
    <t>Edad</t>
  </si>
  <si>
    <t>Ejemplo en Json</t>
  </si>
  <si>
    <t>Estatura</t>
  </si>
  <si>
    <t>Peso</t>
  </si>
  <si>
    <t>{</t>
  </si>
  <si>
    <t>IMC</t>
  </si>
  <si>
    <t xml:space="preserve">  "idProducto": "1",</t>
  </si>
  <si>
    <t>Ocupación</t>
  </si>
  <si>
    <t xml:space="preserve">  "idCotizador": "COT_VIDA_MULTIANUAL",</t>
  </si>
  <si>
    <t>Plazo</t>
  </si>
  <si>
    <t>3 años</t>
  </si>
  <si>
    <t xml:space="preserve">  "versionRegla": "v1",</t>
  </si>
  <si>
    <t xml:space="preserve">  "parametros": {</t>
  </si>
  <si>
    <t>Fallecimiento</t>
  </si>
  <si>
    <t xml:space="preserve">    "edad": 24,</t>
  </si>
  <si>
    <t xml:space="preserve">    "sumaAsegurada": 4000000.00,</t>
  </si>
  <si>
    <t>3.-REGLA DE NEGOCIO</t>
  </si>
  <si>
    <t xml:space="preserve">    "plazo": 3,</t>
  </si>
  <si>
    <t>Entrada evaluada</t>
  </si>
  <si>
    <t>Resultado</t>
  </si>
  <si>
    <t xml:space="preserve">    "ocupacion": "ACTOR",</t>
  </si>
  <si>
    <t>Valor de ejemplo</t>
  </si>
  <si>
    <t xml:space="preserve">    "imc": 17.21,</t>
  </si>
  <si>
    <t xml:space="preserve">    "cobertura": "FALLECIMIENTO"</t>
  </si>
  <si>
    <t>24 años</t>
  </si>
  <si>
    <t xml:space="preserve">  }</t>
  </si>
  <si>
    <t>}</t>
  </si>
  <si>
    <t>Tarifa resultante</t>
  </si>
  <si>
    <t>4.65 ‰</t>
  </si>
  <si>
    <t xml:space="preserve">Prima calculada </t>
  </si>
  <si>
    <t>4.-RESPONSE</t>
  </si>
  <si>
    <t>Tarifa aplicada</t>
  </si>
  <si>
    <t>Prima</t>
  </si>
  <si>
    <t>$18,600.00.</t>
  </si>
  <si>
    <t>Cotización calculada</t>
  </si>
  <si>
    <t>El ejemplo numérico (edad 24, plazo 3 años, tarifa 4.65‰, prima $18,600) no tiene respaldo en ningún entregable ni en la bitácora — no se pudo confirmar ni contradecir su origen.</t>
  </si>
  <si>
    <t>No se encontró en esta sesión ninguna mención de 'idCotizador', 'versionRegla' ni del patrón COT_VIDA_MULTIANUAL/COT_VIDA_INDIVIDUAL/COT_AUTO — sigue sin confirmarse si ese patrón, tal como lo trae esta hoja, es el diseño vigente o quedó superado por el enfoque de metadatos JSON.</t>
  </si>
  <si>
    <t>Recomendación: llevar el hallazgo del contrato JSON dinámico a `E04_Diseno_Tecnico` y `E05_Catalogo_de_APIs` como posible ADR — no evaluado todavía contra esos entregables en esta operación.</t>
  </si>
  <si>
    <t>Parámetro</t>
  </si>
  <si>
    <t>Nombre técnico</t>
  </si>
  <si>
    <t>Longitud</t>
  </si>
  <si>
    <t>Ejemplo</t>
  </si>
  <si>
    <t>Origen</t>
  </si>
  <si>
    <t>tipoMovimiento</t>
  </si>
  <si>
    <t>String</t>
  </si>
  <si>
    <t>fechaCotizacion</t>
  </si>
  <si>
    <t>Date</t>
  </si>
  <si>
    <t>fechaNacimiento</t>
  </si>
  <si>
    <t>Usuario</t>
  </si>
  <si>
    <t>edad</t>
  </si>
  <si>
    <t>Integer</t>
  </si>
  <si>
    <t>Calculado</t>
  </si>
  <si>
    <t>estatura</t>
  </si>
  <si>
    <t>Decimal</t>
  </si>
  <si>
    <t>4,2</t>
  </si>
  <si>
    <t>peso</t>
  </si>
  <si>
    <t>5,2</t>
  </si>
  <si>
    <t>imc</t>
  </si>
  <si>
    <t>ocupacion</t>
  </si>
  <si>
    <t>String/ID</t>
  </si>
  <si>
    <t>plazoSeguro</t>
  </si>
  <si>
    <t>sumaAsegurada</t>
  </si>
  <si>
    <t>15,2</t>
  </si>
  <si>
    <t>cobertura</t>
  </si>
  <si>
    <t>Solo 'edad' y 'sumaAsegurada' tienen contraparte parcial en el Diccionario de Datos del proyecto (edad_minima/maxima_contratacion, suma_asegurada numerica). El resto de parametros (imc, ocupacion, plazoSeguro, cobertura, fechaCotizacion, fechaNacimiento, estatura, peso, tipoMovimiento) no estan modelados todavia como atributos propios con tipo/longitud.</t>
  </si>
  <si>
    <t>IMC y Ocupación aparecen únicamente como valores de ejemplo del catálogo 'variable_riesgo' (ENT tarifario), no como atributos de entrada de cotización con tipo/longitud propios.</t>
  </si>
  <si>
    <t>Alcance del producto / Elegibilidad</t>
  </si>
  <si>
    <t>Tipo de Oferta</t>
  </si>
  <si>
    <t>Género</t>
  </si>
  <si>
    <t>Requiere Cúmulo</t>
  </si>
  <si>
    <t>Contratante</t>
  </si>
  <si>
    <t>Catálogo (Tipo de Oferta)</t>
  </si>
  <si>
    <t>Nueva</t>
  </si>
  <si>
    <t>Renovación</t>
  </si>
  <si>
    <t>Retención</t>
  </si>
  <si>
    <t>Presentar Opciones Masculino / Femenino</t>
  </si>
  <si>
    <t>si se selecciona Checkbox, se habilita nuevo campo para ingresar monto de cúmulo</t>
  </si>
  <si>
    <t>Presentar Opciones Persona Física / Persona Moral</t>
  </si>
  <si>
    <t>Planes asignados:</t>
  </si>
  <si>
    <t>Nombre</t>
  </si>
  <si>
    <t>Nombre Cobertura/ Asistencia</t>
  </si>
  <si>
    <t>Estatus</t>
  </si>
  <si>
    <t>Estado de la cobertura (Asignado o Desasignado)</t>
  </si>
  <si>
    <t>Detalles</t>
  </si>
  <si>
    <t>1- Catálogo Tipo limite Cobertura</t>
  </si>
  <si>
    <t>2- Condición</t>
  </si>
  <si>
    <t>3- Deducible/ Co-Aseguro</t>
  </si>
  <si>
    <t>4- Edades Cobertura</t>
  </si>
  <si>
    <t>5- Extensible</t>
  </si>
  <si>
    <t>Subcobertura</t>
  </si>
  <si>
    <t xml:space="preserve">Al selecionar el boton, se debe mostrar una subsección con los atributos numerados del 1 al 5: </t>
  </si>
  <si>
    <t>Nueva Subcobertura</t>
  </si>
  <si>
    <t>Regla de Indemnización / Descripción</t>
  </si>
  <si>
    <t xml:space="preserve">Al selecionar el boton, se debe mostrar la tabla de Subcoberturas: </t>
  </si>
  <si>
    <t>Muestra la tabla generada de las subcobertursas generadas en "Agrega nuevas coberturas al plan"
Campos de la tabla: Nombre SubCobertura, Clave Cobertura Madre, Limite, Eventos, Periodo, Regla de Indemnización, Acciones
La columna Acciones: podra permitir borrar la Subcobertura generada.</t>
  </si>
  <si>
    <t>Catálogo (Tipo Directriz Tarifas)</t>
  </si>
  <si>
    <t>Unica</t>
  </si>
  <si>
    <t>Edad / Rango</t>
  </si>
  <si>
    <t>Hábito</t>
  </si>
  <si>
    <t>Suma Asegurada</t>
  </si>
  <si>
    <t>Resumen de Ramos, Subramo y Familias de Productos</t>
  </si>
  <si>
    <t>Ramos Seleccionados</t>
  </si>
  <si>
    <t>Subramo</t>
  </si>
  <si>
    <t>Familias de Productos</t>
  </si>
  <si>
    <t>Se llena con lo que se tenga seleccionado en Producto -&gt; Familia principal</t>
  </si>
  <si>
    <t>Se llena con lo que se tenga seleccionado en Producto -&gt;Ramos Seleccionados</t>
  </si>
  <si>
    <t>Se llena con lo que se tenga seleccionado en Producto -&gt; Subramo</t>
  </si>
  <si>
    <t>Catalogo Familia Productos</t>
  </si>
  <si>
    <t>Familia Producto</t>
  </si>
  <si>
    <t>Fraude</t>
  </si>
  <si>
    <t>Hogar</t>
  </si>
  <si>
    <t>PYME</t>
  </si>
  <si>
    <t>Pertenencias/Contenidos</t>
  </si>
  <si>
    <t>Salud</t>
  </si>
  <si>
    <t>Catálogo (Familias Productos)</t>
  </si>
  <si>
    <t>A partir de la Familia Principal, se busca en el catálogo de Familias Productos para mostrar las opciones correspondientes</t>
  </si>
  <si>
    <t>Aviso de Renovación (días)</t>
  </si>
  <si>
    <t>Buscador de Producto Base</t>
  </si>
  <si>
    <t>Buscar y autocompletar la búsqueda de Productos y permitir selecionarlos</t>
  </si>
  <si>
    <t>Tipo de Endoso habilitado</t>
  </si>
  <si>
    <t>Regla de Cálculo de prima de endoso</t>
  </si>
  <si>
    <t>Catálogo (Tipo Endoso)</t>
  </si>
  <si>
    <t>Catálogo (Calculo Prima Endoso)</t>
  </si>
  <si>
    <t>Modificación de Suma Asegurada</t>
  </si>
  <si>
    <t>Inclusión / Exclusión de Coberturas</t>
  </si>
  <si>
    <t>Cambio de Contratante / Asegurado</t>
  </si>
  <si>
    <t>Cambio de Forma de Pago</t>
  </si>
  <si>
    <t>Corrección de Datos</t>
  </si>
  <si>
    <t>Cancelación / Rescisión</t>
  </si>
  <si>
    <t>Prorrateo comercial a mes completo</t>
  </si>
  <si>
    <t>Sin costo (Endoso Administrativo)</t>
  </si>
  <si>
    <t>Cobro de prima fija por emisión de endoso</t>
  </si>
  <si>
    <t>Prorrateo por días de vigencia restante</t>
  </si>
  <si>
    <t>Tabla: Endosos del Producto</t>
  </si>
  <si>
    <t>Tipo de Endoso</t>
  </si>
  <si>
    <t>Afecta Prima</t>
  </si>
  <si>
    <t>Documento Emitido</t>
  </si>
  <si>
    <t>Tiempo Máximo Gestión</t>
  </si>
  <si>
    <t>Se llena con el tipo de Endoso</t>
  </si>
  <si>
    <t>Valores Asignar</t>
  </si>
  <si>
    <t>Se llena con lo que se haya seleccionado en regla de cálculo de prima de endoso</t>
  </si>
  <si>
    <t>Valores Habilitado / Deshabilitado</t>
  </si>
  <si>
    <t>Ramo Contable</t>
  </si>
  <si>
    <t>Campo de Texto</t>
  </si>
  <si>
    <t>Accidentes personales</t>
  </si>
  <si>
    <t>Cuentas Concentradoras</t>
  </si>
  <si>
    <t>Guías Contables</t>
  </si>
  <si>
    <t>Valores Agregar</t>
  </si>
  <si>
    <t>Forma de pago habilitadas</t>
  </si>
  <si>
    <t>Se llena en automático</t>
  </si>
  <si>
    <t>Se llenan con lo seleccionado en Producto - &gt;Frecuencia de pago de la prima</t>
  </si>
  <si>
    <t>Conductos de cobro habilitadas</t>
  </si>
  <si>
    <t>Se llenan con lo seleccionado en Producto - &gt;Conductos de cobro</t>
  </si>
  <si>
    <t>Tabla: Periodos de gracia, espera y carencia</t>
  </si>
  <si>
    <t>Periodo de Gracia</t>
  </si>
  <si>
    <t>Periodo de Espera</t>
  </si>
  <si>
    <t>Periodo de Carencia</t>
  </si>
  <si>
    <t>SI</t>
  </si>
  <si>
    <t xml:space="preserve"> Matriz de campos requeridos — Contratante, Asegurado y Beneficiario</t>
  </si>
  <si>
    <t>Checkbox</t>
  </si>
  <si>
    <t>Al seleccionar la opción, se habilitan o deshabilitan todos los campos de la sección</t>
  </si>
  <si>
    <t>Al seleccionar la opción, se habilitan o deshabilitan todos los campos de la sección Cotizar</t>
  </si>
  <si>
    <t>Emitir todos</t>
  </si>
  <si>
    <t>Cotizar todos</t>
  </si>
  <si>
    <t>Al seleccionar la opción, se habilitan o deshabilitan todos los campos de la sección Emitir</t>
  </si>
  <si>
    <t>BUC</t>
  </si>
  <si>
    <t>RFC</t>
  </si>
  <si>
    <t>Domicilio</t>
  </si>
  <si>
    <t>Situación Fiscal</t>
  </si>
  <si>
    <t>País</t>
  </si>
  <si>
    <t>Nacionalidad</t>
  </si>
  <si>
    <t>Teléfono</t>
  </si>
  <si>
    <t>Correo electrónico</t>
  </si>
  <si>
    <t>Asegurado</t>
  </si>
  <si>
    <t>Fecha de Nacimiento</t>
  </si>
  <si>
    <t>Beneficiario</t>
  </si>
  <si>
    <t>Requerido todos</t>
  </si>
  <si>
    <t>Apellido Paterno</t>
  </si>
  <si>
    <t>Apellido Materno</t>
  </si>
  <si>
    <t>Parentesco</t>
  </si>
  <si>
    <t>Porcentaje</t>
  </si>
  <si>
    <t>Figuras del Seguro (Participantes en la Póliza)</t>
  </si>
  <si>
    <t>Tipo de contratante habilitado</t>
  </si>
  <si>
    <t>Checkbox - Multiselección</t>
  </si>
  <si>
    <t>Presentar las figuras Persona Física, Persona Moral y Persona Física con Actividad Empresarial</t>
  </si>
  <si>
    <t>Asegurados adicionales</t>
  </si>
  <si>
    <t>Máximo de asegurados</t>
  </si>
  <si>
    <t>Regla de Beneficiarios</t>
  </si>
  <si>
    <t>Máximo de Beneficiarios</t>
  </si>
  <si>
    <t>Listado</t>
  </si>
  <si>
    <t>Presentar las opciones "No - Solo titular" y "Si - múltiples asegurados (mismo contrato)"</t>
  </si>
  <si>
    <t>Se habilita este campo para elegir el número de asegurados solo si el campo "Asegurados iniciales" selecciona la opción "Si - múltiples asegurados"</t>
  </si>
  <si>
    <t>Presentar las opciones "Porcentaje sumando 100%" y "Beneficiario irrevocable (sin distribución porcentual)"</t>
  </si>
  <si>
    <t>Listas restrictivas y normatividad</t>
  </si>
  <si>
    <t>Requiere validación de Black List previo a emitir (bandera de producto)</t>
  </si>
  <si>
    <t>Solicitar documentación adicional por umbral de PLD</t>
  </si>
  <si>
    <t>Al seleccionar el checkbox de la columna correspondiente (Cotizar y/o Emitir) se habilita / deshabilita el atributo para el Contratante</t>
  </si>
  <si>
    <t>Al seleccionar el checkbox se habilita / deshabilita el atributo para el Beneficiario</t>
  </si>
  <si>
    <t>Al seleccionar el checkbox se habilita / deshabilita el atributo para requerir validación</t>
  </si>
  <si>
    <t>Al seleccionar el checkbox se habilita / deshabilita el atributo para solicitar documentación</t>
  </si>
  <si>
    <t>Gestión de campañas</t>
  </si>
  <si>
    <t>Búsqueda y Selección de Productos</t>
  </si>
  <si>
    <t>Buscador de productos Asociados</t>
  </si>
  <si>
    <t>Mostrar los valores del catálogo de productos y permitir selecionarlos</t>
  </si>
  <si>
    <t>Búsqueda de campañas</t>
  </si>
  <si>
    <t>Filtro de campaña</t>
  </si>
  <si>
    <t>Campo de texto</t>
  </si>
  <si>
    <t>Filtrar el nombre de las campañas a partir del valor ingresado</t>
  </si>
  <si>
    <t>Campo Texto (Catálogo Estado Campañas)</t>
  </si>
  <si>
    <t>Catálogo de Campañas Configuradas</t>
  </si>
  <si>
    <t>Contiene los estados de las campañas y permite seleccionar uno para filtrarlas. Al realizar la búsqueda, extrae Código, Nombre de Campaña, Vigencia, Descuento, Meta Pólizas, Productos Asociados, Canales y Estado</t>
  </si>
  <si>
    <t>Código</t>
  </si>
  <si>
    <t>Nombre de Campaña</t>
  </si>
  <si>
    <t>Vigencia</t>
  </si>
  <si>
    <t>Descuento</t>
  </si>
  <si>
    <t>Meta Pólizas</t>
  </si>
  <si>
    <t>Productos Asociados</t>
  </si>
  <si>
    <t>Canales</t>
  </si>
  <si>
    <t>Se llena con el contenido del código de la campaña configurada</t>
  </si>
  <si>
    <t>Se llena con el contenido del nombre de la campaña configurada</t>
  </si>
  <si>
    <t>Se llena con el contenido de la vigencia de la campaña configurada</t>
  </si>
  <si>
    <t>Se llena con el contenido del descuento de la campaña configurada</t>
  </si>
  <si>
    <t>Se llena con el contenido de la meta pólizas de la campaña configurada</t>
  </si>
  <si>
    <t>Se llena con los productos asociados a la campaña configurada</t>
  </si>
  <si>
    <t>Se llena con los planes asociados a la campaña configurada</t>
  </si>
  <si>
    <t>Se llena con el estado de la campaña configurada</t>
  </si>
  <si>
    <t>Valores Editar / 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</si>
</sst>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7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</font>
    <font>
      <sz val="11"/>
      <color rgb="FF006100"/>
      <name val="Aptos Narrow"/>
      <family val="2"/>
      <scheme val="minor"/>
    </font>
    <font>
      <b/>
      <sz val="10"/>
      <color rgb="FF000000"/>
      <name val="Aptos Narrow"/>
    </font>
    <font>
      <b/>
      <sz val="11"/>
      <color rgb="FFFFFFFF"/>
      <name val="Aptos Narrow"/>
    </font>
    <font>
      <b/>
      <sz val="11"/>
      <name val="Aptos Narrow"/>
    </font>
    <font>
      <sz val="11"/>
      <color rgb="FF375623"/>
      <name val="Aptos Narrow"/>
    </font>
    <font>
      <i/>
      <sz val="11"/>
      <color rgb="FF7F7F7F"/>
      <name val="Aptos Narrow"/>
    </font>
    <font>
      <sz val="11"/>
      <color rgb="FFC00000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3"/>
        <bgColor indexed="64"/>
      </patternFill>
    </fill>
    <fill>
      <patternFill patternType="solid">
        <fgColor theme="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2" borderId="0"/>
    <xf numFmtId="0" fontId="2" fillId="3" borderId="1"/>
    <xf numFmtId="0" fontId="3" fillId="5" borderId="0"/>
    <xf numFmtId="0" fontId="10" fillId="10" borderId="0"/>
  </cellStyleXfs>
  <cellXfs count="53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4" borderId="0" xfId="0" applyFill="1"/>
    <xf numFmtId="0" fontId="1" fillId="2" borderId="0" xfId="1"/>
    <xf numFmtId="0" fontId="2" fillId="3" borderId="1" xfId="2"/>
    <xf numFmtId="0" fontId="0" fillId="0" borderId="0" xfId="0" applyAlignment="1">
      <alignment vertical="center" wrapText="1"/>
    </xf>
    <xf numFmtId="0" fontId="3" fillId="5" borderId="0" xfId="3"/>
    <xf numFmtId="0" fontId="4" fillId="0" borderId="0" xfId="0" applyFont="1"/>
    <xf numFmtId="0" fontId="5" fillId="0" borderId="0" xfId="0" applyFont="1"/>
    <xf numFmtId="0" fontId="3" fillId="6" borderId="0" xfId="3" applyFill="1"/>
    <xf numFmtId="0" fontId="0" fillId="6" borderId="0" xfId="0" applyFill="1"/>
    <xf numFmtId="0" fontId="6" fillId="0" borderId="0" xfId="0" applyFont="1"/>
    <xf numFmtId="0" fontId="7" fillId="0" borderId="0" xfId="0" applyFont="1"/>
    <xf numFmtId="0" fontId="4" fillId="7" borderId="0" xfId="0" applyFont="1" applyFill="1"/>
    <xf numFmtId="0" fontId="8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9" fillId="0" borderId="0" xfId="0" applyFont="1"/>
    <xf numFmtId="0" fontId="7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8" borderId="0" xfId="0" applyFill="1"/>
    <xf numFmtId="0" fontId="0" fillId="0" borderId="4" xfId="0" applyBorder="1" applyAlignment="1">
      <alignment horizontal="left"/>
    </xf>
    <xf numFmtId="6" fontId="0" fillId="0" borderId="2" xfId="0" applyNumberFormat="1" applyBorder="1" applyAlignment="1">
      <alignment horizontal="left"/>
    </xf>
    <xf numFmtId="4" fontId="0" fillId="0" borderId="0" xfId="0" applyNumberFormat="1" applyAlignment="1">
      <alignment horizontal="left"/>
    </xf>
    <xf numFmtId="0" fontId="0" fillId="9" borderId="0" xfId="0" applyFill="1"/>
    <xf numFmtId="0" fontId="0" fillId="0" borderId="3" xfId="0" applyBorder="1" applyAlignment="1">
      <alignment horizontal="left"/>
    </xf>
    <xf numFmtId="8" fontId="0" fillId="0" borderId="3" xfId="0" applyNumberFormat="1" applyBorder="1" applyAlignment="1">
      <alignment horizontal="left"/>
    </xf>
    <xf numFmtId="8" fontId="7" fillId="0" borderId="0" xfId="0" applyNumberFormat="1" applyFont="1" applyAlignment="1">
      <alignment horizontal="left"/>
    </xf>
    <xf numFmtId="0" fontId="10" fillId="10" borderId="0" xfId="4"/>
    <xf numFmtId="0" fontId="7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11" borderId="0" xfId="0" applyFont="1" applyFill="1"/>
    <xf numFmtId="0" fontId="0" fillId="11" borderId="0" xfId="0" applyFill="1"/>
    <xf numFmtId="0" fontId="13" fillId="12" borderId="0" xfId="0" applyFont="1" applyFill="1"/>
    <xf numFmtId="0" fontId="14" fillId="0" borderId="0" xfId="0" applyFont="1"/>
    <xf numFmtId="0" fontId="15" fillId="0" borderId="0" xfId="0" applyFont="1" applyAlignment="1">
      <alignment wrapText="1"/>
    </xf>
    <xf numFmtId="0" fontId="1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/>
    <xf numFmtId="0" fontId="0" fillId="8" borderId="2" xfId="0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13" borderId="0" xfId="0" applyFill="1"/>
    <xf numFmtId="0" fontId="0" fillId="14" borderId="0" xfId="0" applyFill="1"/>
    <xf numFmtId="0" fontId="9" fillId="0" borderId="0" xfId="0" applyFont="1" applyFill="1" applyBorder="1" applyAlignment="1">
      <alignment wrapText="1"/>
    </xf>
    <xf numFmtId="0" fontId="0" fillId="0" borderId="0" xfId="0" applyFill="1"/>
  </cellXfs>
  <cellStyles count="5">
    <cellStyle name="Accent1" xfId="3" builtinId="29"/>
    <cellStyle name="Calculation" xfId="2" builtinId="22"/>
    <cellStyle name="Good" xfId="4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1"/>
  <sheetViews>
    <sheetView tabSelected="1" zoomScale="85" zoomScaleNormal="85" workbookViewId="0">
      <selection activeCell="F19" sqref="F19"/>
    </sheetView>
  </sheetViews>
  <sheetFormatPr defaultRowHeight="14.5" x14ac:dyDescent="0.35"/>
  <cols>
    <col min="1" max="1" width="23.453125" bestFit="1" customWidth="1"/>
    <col min="2" max="2" width="28.453125" bestFit="1" customWidth="1"/>
    <col min="3" max="3" width="25.54296875" bestFit="1" customWidth="1"/>
    <col min="4" max="5" width="25.54296875" customWidth="1"/>
    <col min="6" max="6" width="58.453125" customWidth="1"/>
    <col min="7" max="7" width="18.6328125" customWidth="1"/>
    <col min="18" max="19" width="8.6328125" style="3" customWidth="1"/>
    <col min="23" max="23" width="25.54296875" bestFit="1" customWidth="1"/>
    <col min="24" max="24" width="25.54296875" customWidth="1"/>
  </cols>
  <sheetData>
    <row r="1" spans="1:24" x14ac:dyDescent="0.35">
      <c r="T1" t="s">
        <v>0</v>
      </c>
    </row>
    <row r="2" spans="1:24" x14ac:dyDescent="0.35">
      <c r="W2" s="4" t="s">
        <v>1</v>
      </c>
    </row>
    <row r="3" spans="1:24" x14ac:dyDescent="0.35">
      <c r="W3" s="5" t="s">
        <v>2</v>
      </c>
      <c r="X3" s="5" t="s">
        <v>3</v>
      </c>
    </row>
    <row r="4" spans="1:24" x14ac:dyDescent="0.35">
      <c r="W4" t="s">
        <v>4</v>
      </c>
      <c r="X4" t="s">
        <v>5</v>
      </c>
    </row>
    <row r="5" spans="1:24" x14ac:dyDescent="0.35">
      <c r="W5" t="s">
        <v>6</v>
      </c>
      <c r="X5" t="s">
        <v>7</v>
      </c>
    </row>
    <row r="6" spans="1:24" x14ac:dyDescent="0.35">
      <c r="B6" t="s">
        <v>8</v>
      </c>
      <c r="C6" t="s">
        <v>9</v>
      </c>
      <c r="D6" t="s">
        <v>10</v>
      </c>
      <c r="E6" t="s">
        <v>11</v>
      </c>
      <c r="F6" t="s">
        <v>12</v>
      </c>
      <c r="W6" s="4" t="s">
        <v>13</v>
      </c>
    </row>
    <row r="7" spans="1:24" x14ac:dyDescent="0.35">
      <c r="A7" t="s">
        <v>14</v>
      </c>
      <c r="W7" t="s">
        <v>15</v>
      </c>
    </row>
    <row r="8" spans="1:24" x14ac:dyDescent="0.35">
      <c r="B8" t="s">
        <v>16</v>
      </c>
      <c r="C8" t="s">
        <v>17</v>
      </c>
      <c r="D8" t="s">
        <v>18</v>
      </c>
      <c r="E8" t="s">
        <v>19</v>
      </c>
      <c r="W8" t="s">
        <v>20</v>
      </c>
    </row>
    <row r="9" spans="1:24" x14ac:dyDescent="0.35">
      <c r="B9" t="s">
        <v>21</v>
      </c>
      <c r="C9" t="s">
        <v>17</v>
      </c>
      <c r="D9" t="s">
        <v>18</v>
      </c>
      <c r="E9" t="s">
        <v>19</v>
      </c>
      <c r="W9" t="s">
        <v>22</v>
      </c>
    </row>
    <row r="10" spans="1:24" x14ac:dyDescent="0.35">
      <c r="B10" t="s">
        <v>23</v>
      </c>
      <c r="C10" t="s">
        <v>17</v>
      </c>
      <c r="D10" t="s">
        <v>18</v>
      </c>
      <c r="E10" t="s">
        <v>19</v>
      </c>
      <c r="W10" s="4" t="s">
        <v>24</v>
      </c>
    </row>
    <row r="11" spans="1:24" x14ac:dyDescent="0.35">
      <c r="W11" s="5" t="s">
        <v>25</v>
      </c>
      <c r="X11" s="5" t="s">
        <v>26</v>
      </c>
    </row>
    <row r="12" spans="1:24" x14ac:dyDescent="0.35">
      <c r="A12" t="s">
        <v>27</v>
      </c>
      <c r="W12" t="s">
        <v>22</v>
      </c>
      <c r="X12" t="s">
        <v>22</v>
      </c>
    </row>
    <row r="13" spans="1:24" x14ac:dyDescent="0.35">
      <c r="B13" t="s">
        <v>2</v>
      </c>
      <c r="C13" t="s">
        <v>1</v>
      </c>
      <c r="D13" t="s">
        <v>18</v>
      </c>
      <c r="E13" t="s">
        <v>19</v>
      </c>
      <c r="F13" t="s">
        <v>2</v>
      </c>
      <c r="W13" t="s">
        <v>15</v>
      </c>
      <c r="X13" s="1" t="s">
        <v>28</v>
      </c>
    </row>
    <row r="14" spans="1:24" x14ac:dyDescent="0.35">
      <c r="B14" t="s">
        <v>29</v>
      </c>
      <c r="C14" t="s">
        <v>13</v>
      </c>
      <c r="D14" t="s">
        <v>18</v>
      </c>
      <c r="E14" t="s">
        <v>18</v>
      </c>
      <c r="F14" t="s">
        <v>15</v>
      </c>
      <c r="W14" t="s">
        <v>15</v>
      </c>
      <c r="X14" s="1" t="s">
        <v>30</v>
      </c>
    </row>
    <row r="15" spans="1:24" x14ac:dyDescent="0.35">
      <c r="B15" t="s">
        <v>41</v>
      </c>
      <c r="C15" t="s">
        <v>42</v>
      </c>
      <c r="D15" t="s">
        <v>18</v>
      </c>
      <c r="E15" t="s">
        <v>19</v>
      </c>
      <c r="F15" t="s">
        <v>43</v>
      </c>
      <c r="W15" t="s">
        <v>20</v>
      </c>
      <c r="X15" t="s">
        <v>44</v>
      </c>
    </row>
    <row r="16" spans="1:24" ht="28.75" customHeight="1" x14ac:dyDescent="0.35">
      <c r="B16" t="s">
        <v>36</v>
      </c>
      <c r="C16" t="s">
        <v>37</v>
      </c>
      <c r="D16" t="s">
        <v>38</v>
      </c>
      <c r="E16" t="s">
        <v>18</v>
      </c>
      <c r="F16" s="2" t="s">
        <v>39</v>
      </c>
      <c r="W16" t="s">
        <v>20</v>
      </c>
      <c r="X16" t="s">
        <v>40</v>
      </c>
    </row>
    <row r="17" spans="1:24" x14ac:dyDescent="0.35">
      <c r="B17" t="s">
        <v>31</v>
      </c>
      <c r="C17" t="s">
        <v>32</v>
      </c>
      <c r="D17" t="s">
        <v>33</v>
      </c>
      <c r="E17" t="s">
        <v>34</v>
      </c>
      <c r="F17" t="str">
        <f>VLOOKUP(F13,W3:X4,2,FALSE)</f>
        <v>Alcance comercial</v>
      </c>
      <c r="W17" t="s">
        <v>15</v>
      </c>
      <c r="X17" s="1" t="s">
        <v>35</v>
      </c>
    </row>
    <row r="18" spans="1:24" ht="115.25" customHeight="1" x14ac:dyDescent="0.35">
      <c r="B18" t="s">
        <v>45</v>
      </c>
      <c r="C18" t="s">
        <v>46</v>
      </c>
      <c r="D18" t="s">
        <v>38</v>
      </c>
      <c r="E18" t="s">
        <v>18</v>
      </c>
      <c r="F18" s="2" t="s">
        <v>47</v>
      </c>
      <c r="W18" t="s">
        <v>20</v>
      </c>
      <c r="X18" t="s">
        <v>48</v>
      </c>
    </row>
    <row r="19" spans="1:24" ht="72" customHeight="1" x14ac:dyDescent="0.35">
      <c r="B19" t="s">
        <v>49</v>
      </c>
      <c r="C19" t="s">
        <v>32</v>
      </c>
      <c r="D19" t="s">
        <v>50</v>
      </c>
      <c r="E19" t="s">
        <v>18</v>
      </c>
      <c r="F19" s="2" t="s">
        <v>51</v>
      </c>
      <c r="W19" t="s">
        <v>20</v>
      </c>
      <c r="X19" t="s">
        <v>52</v>
      </c>
    </row>
    <row r="20" spans="1:24" ht="43.25" customHeight="1" x14ac:dyDescent="0.35">
      <c r="B20" t="s">
        <v>53</v>
      </c>
      <c r="E20" t="s">
        <v>18</v>
      </c>
      <c r="F20" s="2" t="s">
        <v>54</v>
      </c>
      <c r="W20" t="s">
        <v>20</v>
      </c>
      <c r="X20" t="s">
        <v>55</v>
      </c>
    </row>
    <row r="21" spans="1:24" ht="57.65" customHeight="1" x14ac:dyDescent="0.35">
      <c r="B21" t="s">
        <v>56</v>
      </c>
      <c r="C21" t="s">
        <v>57</v>
      </c>
      <c r="D21" t="s">
        <v>50</v>
      </c>
      <c r="E21" t="s">
        <v>19</v>
      </c>
      <c r="F21" s="2" t="s">
        <v>58</v>
      </c>
      <c r="W21" t="s">
        <v>20</v>
      </c>
      <c r="X21" t="s">
        <v>59</v>
      </c>
    </row>
    <row r="22" spans="1:24" x14ac:dyDescent="0.35">
      <c r="A22" t="s">
        <v>60</v>
      </c>
    </row>
    <row r="23" spans="1:24" x14ac:dyDescent="0.35">
      <c r="B23" t="s">
        <v>61</v>
      </c>
      <c r="C23" t="s">
        <v>57</v>
      </c>
      <c r="D23" t="s">
        <v>62</v>
      </c>
      <c r="E23" t="s">
        <v>18</v>
      </c>
      <c r="F23" s="2" t="s">
        <v>63</v>
      </c>
      <c r="W23" s="4" t="s">
        <v>64</v>
      </c>
    </row>
    <row r="24" spans="1:24" x14ac:dyDescent="0.35">
      <c r="A24" t="s">
        <v>596</v>
      </c>
      <c r="W24" t="s">
        <v>67</v>
      </c>
      <c r="X24" t="s">
        <v>43</v>
      </c>
    </row>
    <row r="25" spans="1:24" x14ac:dyDescent="0.35">
      <c r="B25" t="s">
        <v>68</v>
      </c>
      <c r="C25" t="s">
        <v>69</v>
      </c>
      <c r="D25" t="s">
        <v>18</v>
      </c>
      <c r="E25" t="s">
        <v>19</v>
      </c>
      <c r="F25" t="s">
        <v>70</v>
      </c>
      <c r="W25" t="s">
        <v>71</v>
      </c>
      <c r="X25" t="s">
        <v>72</v>
      </c>
    </row>
    <row r="26" spans="1:24" x14ac:dyDescent="0.35">
      <c r="B26" t="s">
        <v>73</v>
      </c>
      <c r="C26" t="s">
        <v>69</v>
      </c>
      <c r="D26" t="s">
        <v>18</v>
      </c>
      <c r="E26" t="s">
        <v>74</v>
      </c>
      <c r="F26" t="s">
        <v>70</v>
      </c>
      <c r="W26" s="4" t="s">
        <v>45</v>
      </c>
    </row>
    <row r="27" spans="1:24" x14ac:dyDescent="0.35">
      <c r="B27" t="s">
        <v>597</v>
      </c>
      <c r="C27" t="s">
        <v>601</v>
      </c>
      <c r="D27" t="s">
        <v>38</v>
      </c>
      <c r="E27" t="s">
        <v>124</v>
      </c>
      <c r="F27" t="s">
        <v>602</v>
      </c>
      <c r="W27" s="5" t="s">
        <v>3</v>
      </c>
      <c r="X27" s="5" t="s">
        <v>45</v>
      </c>
    </row>
    <row r="28" spans="1:24" x14ac:dyDescent="0.35">
      <c r="B28" t="s">
        <v>598</v>
      </c>
      <c r="C28" t="s">
        <v>166</v>
      </c>
      <c r="D28" t="s">
        <v>62</v>
      </c>
      <c r="E28" t="s">
        <v>124</v>
      </c>
      <c r="F28" t="s">
        <v>605</v>
      </c>
      <c r="W28" t="s">
        <v>5</v>
      </c>
      <c r="X28" t="s">
        <v>75</v>
      </c>
    </row>
    <row r="29" spans="1:24" x14ac:dyDescent="0.35">
      <c r="B29" t="s">
        <v>599</v>
      </c>
      <c r="C29" t="s">
        <v>166</v>
      </c>
      <c r="D29" t="s">
        <v>38</v>
      </c>
      <c r="E29" t="s">
        <v>124</v>
      </c>
      <c r="F29" t="s">
        <v>606</v>
      </c>
      <c r="W29" t="s">
        <v>5</v>
      </c>
      <c r="X29" t="s">
        <v>76</v>
      </c>
    </row>
    <row r="30" spans="1:24" x14ac:dyDescent="0.35">
      <c r="B30" t="s">
        <v>600</v>
      </c>
      <c r="C30" t="s">
        <v>166</v>
      </c>
      <c r="D30" t="s">
        <v>62</v>
      </c>
      <c r="E30" t="s">
        <v>124</v>
      </c>
      <c r="F30" t="s">
        <v>607</v>
      </c>
      <c r="W30" t="s">
        <v>5</v>
      </c>
      <c r="X30" t="s">
        <v>77</v>
      </c>
    </row>
    <row r="31" spans="1:24" x14ac:dyDescent="0.35">
      <c r="W31" t="s">
        <v>5</v>
      </c>
      <c r="X31" t="s">
        <v>78</v>
      </c>
    </row>
    <row r="32" spans="1:24" x14ac:dyDescent="0.35">
      <c r="W32" t="s">
        <v>5</v>
      </c>
      <c r="X32" t="s">
        <v>79</v>
      </c>
    </row>
    <row r="33" spans="23:24" x14ac:dyDescent="0.35">
      <c r="W33" t="s">
        <v>7</v>
      </c>
      <c r="X33" t="s">
        <v>80</v>
      </c>
    </row>
    <row r="34" spans="23:24" x14ac:dyDescent="0.35">
      <c r="W34" t="s">
        <v>7</v>
      </c>
      <c r="X34" t="s">
        <v>78</v>
      </c>
    </row>
    <row r="35" spans="23:24" x14ac:dyDescent="0.35">
      <c r="W35" t="s">
        <v>7</v>
      </c>
      <c r="X35" t="s">
        <v>81</v>
      </c>
    </row>
    <row r="36" spans="23:24" x14ac:dyDescent="0.35">
      <c r="W36" t="s">
        <v>7</v>
      </c>
      <c r="X36" t="s">
        <v>82</v>
      </c>
    </row>
    <row r="38" spans="23:24" x14ac:dyDescent="0.35">
      <c r="W38" s="4" t="s">
        <v>83</v>
      </c>
    </row>
    <row r="39" spans="23:24" x14ac:dyDescent="0.35">
      <c r="W39" s="5" t="s">
        <v>3</v>
      </c>
      <c r="X39" s="5" t="s">
        <v>84</v>
      </c>
    </row>
    <row r="40" spans="23:24" x14ac:dyDescent="0.35">
      <c r="W40" t="s">
        <v>5</v>
      </c>
      <c r="X40" t="s">
        <v>85</v>
      </c>
    </row>
    <row r="41" spans="23:24" x14ac:dyDescent="0.35">
      <c r="W41" t="s">
        <v>5</v>
      </c>
      <c r="X41" t="s">
        <v>86</v>
      </c>
    </row>
    <row r="42" spans="23:24" x14ac:dyDescent="0.35">
      <c r="W42" t="s">
        <v>5</v>
      </c>
      <c r="X42" t="s">
        <v>87</v>
      </c>
    </row>
    <row r="43" spans="23:24" x14ac:dyDescent="0.35">
      <c r="W43" t="s">
        <v>5</v>
      </c>
      <c r="X43" t="s">
        <v>88</v>
      </c>
    </row>
    <row r="44" spans="23:24" x14ac:dyDescent="0.35">
      <c r="W44" t="s">
        <v>5</v>
      </c>
      <c r="X44" t="s">
        <v>77</v>
      </c>
    </row>
    <row r="45" spans="23:24" x14ac:dyDescent="0.35">
      <c r="W45" t="s">
        <v>5</v>
      </c>
      <c r="X45" t="s">
        <v>89</v>
      </c>
    </row>
    <row r="46" spans="23:24" x14ac:dyDescent="0.35">
      <c r="W46" t="s">
        <v>5</v>
      </c>
      <c r="X46" t="s">
        <v>90</v>
      </c>
    </row>
    <row r="47" spans="23:24" x14ac:dyDescent="0.35">
      <c r="W47" t="s">
        <v>5</v>
      </c>
      <c r="X47" t="s">
        <v>78</v>
      </c>
    </row>
    <row r="48" spans="23:24" x14ac:dyDescent="0.35">
      <c r="W48" t="s">
        <v>7</v>
      </c>
      <c r="X48" t="s">
        <v>91</v>
      </c>
    </row>
    <row r="49" spans="23:24" x14ac:dyDescent="0.35">
      <c r="W49" t="s">
        <v>7</v>
      </c>
      <c r="X49" t="s">
        <v>92</v>
      </c>
    </row>
    <row r="52" spans="23:24" x14ac:dyDescent="0.35">
      <c r="W52" s="4" t="s">
        <v>93</v>
      </c>
    </row>
    <row r="53" spans="23:24" x14ac:dyDescent="0.35">
      <c r="W53" s="6" t="s">
        <v>94</v>
      </c>
    </row>
    <row r="54" spans="23:24" x14ac:dyDescent="0.35">
      <c r="W54" s="6" t="s">
        <v>95</v>
      </c>
    </row>
    <row r="55" spans="23:24" x14ac:dyDescent="0.35">
      <c r="W55" s="6" t="s">
        <v>96</v>
      </c>
    </row>
    <row r="56" spans="23:24" x14ac:dyDescent="0.35">
      <c r="W56" s="6" t="s">
        <v>97</v>
      </c>
    </row>
    <row r="57" spans="23:24" x14ac:dyDescent="0.35">
      <c r="W57" s="6" t="s">
        <v>98</v>
      </c>
    </row>
    <row r="58" spans="23:24" x14ac:dyDescent="0.35">
      <c r="W58" s="6" t="s">
        <v>99</v>
      </c>
    </row>
    <row r="59" spans="23:24" x14ac:dyDescent="0.35">
      <c r="W59" s="6" t="s">
        <v>100</v>
      </c>
    </row>
    <row r="60" spans="23:24" x14ac:dyDescent="0.35">
      <c r="W60" s="6" t="s">
        <v>101</v>
      </c>
    </row>
    <row r="64" spans="23:24" x14ac:dyDescent="0.35">
      <c r="W64" s="4" t="s">
        <v>102</v>
      </c>
    </row>
    <row r="65" spans="2:24" x14ac:dyDescent="0.35">
      <c r="W65" t="s">
        <v>103</v>
      </c>
      <c r="X65" t="s">
        <v>104</v>
      </c>
    </row>
    <row r="66" spans="2:24" x14ac:dyDescent="0.35">
      <c r="W66" t="s">
        <v>105</v>
      </c>
      <c r="X66" s="6" t="s">
        <v>106</v>
      </c>
    </row>
    <row r="67" spans="2:24" x14ac:dyDescent="0.35">
      <c r="W67" t="s">
        <v>105</v>
      </c>
      <c r="X67" s="6" t="s">
        <v>107</v>
      </c>
    </row>
    <row r="68" spans="2:24" x14ac:dyDescent="0.35">
      <c r="W68" t="s">
        <v>105</v>
      </c>
      <c r="X68" s="6" t="s">
        <v>108</v>
      </c>
    </row>
    <row r="69" spans="2:24" x14ac:dyDescent="0.35">
      <c r="W69" t="s">
        <v>105</v>
      </c>
      <c r="X69" s="6" t="s">
        <v>109</v>
      </c>
    </row>
    <row r="70" spans="2:24" x14ac:dyDescent="0.35">
      <c r="W70" t="s">
        <v>105</v>
      </c>
      <c r="X70" s="6" t="s">
        <v>110</v>
      </c>
    </row>
    <row r="71" spans="2:24" x14ac:dyDescent="0.35">
      <c r="W71" t="s">
        <v>105</v>
      </c>
      <c r="X71" s="6" t="s">
        <v>111</v>
      </c>
    </row>
    <row r="72" spans="2:24" x14ac:dyDescent="0.35">
      <c r="W72" t="s">
        <v>105</v>
      </c>
      <c r="X72" s="6" t="s">
        <v>112</v>
      </c>
    </row>
    <row r="73" spans="2:24" x14ac:dyDescent="0.35">
      <c r="X73" s="6" t="s">
        <v>113</v>
      </c>
    </row>
    <row r="74" spans="2:24" x14ac:dyDescent="0.35">
      <c r="X74" s="6" t="s">
        <v>114</v>
      </c>
    </row>
    <row r="76" spans="2:24" x14ac:dyDescent="0.35">
      <c r="W76" s="4" t="s">
        <v>93</v>
      </c>
    </row>
    <row r="77" spans="2:24" x14ac:dyDescent="0.35">
      <c r="W77" s="6" t="s">
        <v>602</v>
      </c>
    </row>
    <row r="78" spans="2:24" x14ac:dyDescent="0.35">
      <c r="B78" s="40"/>
      <c r="W78" s="6" t="s">
        <v>603</v>
      </c>
    </row>
    <row r="79" spans="2:24" x14ac:dyDescent="0.35">
      <c r="B79" s="40"/>
      <c r="W79" s="6" t="s">
        <v>604</v>
      </c>
    </row>
    <row r="80" spans="2:24" x14ac:dyDescent="0.35">
      <c r="W80" s="6"/>
    </row>
    <row r="81" spans="23:23" x14ac:dyDescent="0.35">
      <c r="W81" s="6"/>
    </row>
  </sheetData>
  <dataValidations count="4">
    <dataValidation type="list" allowBlank="1" showInputMessage="1" showErrorMessage="1" sqref="F13" xr:uid="{00000000-0002-0000-0000-000000000000}">
      <formula1>$W$3:$W$4</formula1>
    </dataValidation>
    <dataValidation type="list" allowBlank="1" showInputMessage="1" showErrorMessage="1" sqref="F14:F15" xr:uid="{00000000-0002-0000-0000-000001000000}">
      <formula1>$W$7:$W$9</formula1>
    </dataValidation>
    <dataValidation type="list" allowBlank="1" showInputMessage="1" showErrorMessage="1" sqref="F15" xr:uid="{00000000-0002-0000-0000-000002000000}">
      <formula1>$X$24:$X$25</formula1>
    </dataValidation>
    <dataValidation type="list" allowBlank="1" showInputMessage="1" showErrorMessage="1" sqref="F27" xr:uid="{750F04EF-330D-4A5A-9BBB-B7B57E2DD5F4}">
      <formula1>$W$77:$W$79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8"/>
  <sheetViews>
    <sheetView zoomScale="85" zoomScaleNormal="85" workbookViewId="0">
      <selection activeCell="B3" sqref="B3:F3"/>
    </sheetView>
  </sheetViews>
  <sheetFormatPr defaultRowHeight="15" customHeight="1" x14ac:dyDescent="0.35"/>
  <cols>
    <col min="1" max="1" width="36.90625" customWidth="1"/>
    <col min="2" max="2" width="28.36328125" customWidth="1"/>
    <col min="3" max="3" width="18.90625" customWidth="1"/>
    <col min="4" max="4" width="14.90625" bestFit="1" customWidth="1"/>
    <col min="5" max="5" width="12.54296875" customWidth="1"/>
    <col min="6" max="6" width="69.08984375" customWidth="1"/>
    <col min="7" max="7" width="36.54296875" customWidth="1"/>
    <col min="21" max="21" width="15.6328125" style="7" customWidth="1"/>
    <col min="22" max="22" width="8.6328125" style="7" customWidth="1"/>
    <col min="24" max="24" width="38.08984375" bestFit="1" customWidth="1"/>
    <col min="25" max="25" width="19.54296875" customWidth="1"/>
    <col min="26" max="26" width="21.453125" customWidth="1"/>
    <col min="27" max="27" width="20.453125" customWidth="1"/>
    <col min="28" max="28" width="16.6328125" customWidth="1"/>
  </cols>
  <sheetData>
    <row r="1" spans="1:32" ht="14.4" customHeight="1" x14ac:dyDescent="0.35">
      <c r="W1" t="s">
        <v>0</v>
      </c>
      <c r="X1" s="4" t="s">
        <v>115</v>
      </c>
      <c r="AB1" s="44"/>
      <c r="AC1" s="45"/>
    </row>
    <row r="2" spans="1:32" ht="14.4" customHeight="1" x14ac:dyDescent="0.35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116</v>
      </c>
      <c r="X2" t="s">
        <v>117</v>
      </c>
      <c r="Y2" t="s">
        <v>118</v>
      </c>
      <c r="Z2" t="s">
        <v>119</v>
      </c>
      <c r="AA2" t="s">
        <v>120</v>
      </c>
      <c r="AF2" t="s">
        <v>118</v>
      </c>
    </row>
    <row r="3" spans="1:32" ht="43.25" customHeight="1" x14ac:dyDescent="0.35">
      <c r="A3" s="31" t="s">
        <v>121</v>
      </c>
      <c r="B3" t="s">
        <v>122</v>
      </c>
      <c r="C3" t="s">
        <v>115</v>
      </c>
      <c r="D3" t="s">
        <v>123</v>
      </c>
      <c r="E3" t="s">
        <v>124</v>
      </c>
      <c r="F3" t="s">
        <v>125</v>
      </c>
      <c r="G3" s="2" t="s">
        <v>126</v>
      </c>
      <c r="X3" t="s">
        <v>127</v>
      </c>
      <c r="Y3" t="s">
        <v>128</v>
      </c>
      <c r="AF3" t="s">
        <v>128</v>
      </c>
    </row>
    <row r="4" spans="1:32" ht="14.4" customHeight="1" x14ac:dyDescent="0.35">
      <c r="A4" t="s">
        <v>608</v>
      </c>
      <c r="X4" t="s">
        <v>125</v>
      </c>
      <c r="Y4" t="s">
        <v>129</v>
      </c>
      <c r="Z4">
        <v>300000</v>
      </c>
      <c r="AA4">
        <v>1000000</v>
      </c>
      <c r="AF4" t="s">
        <v>129</v>
      </c>
    </row>
    <row r="5" spans="1:32" ht="14.4" customHeight="1" x14ac:dyDescent="0.35">
      <c r="B5" t="s">
        <v>609</v>
      </c>
      <c r="C5" t="s">
        <v>130</v>
      </c>
      <c r="D5" t="s">
        <v>33</v>
      </c>
      <c r="E5" t="s">
        <v>34</v>
      </c>
      <c r="F5" t="s">
        <v>131</v>
      </c>
      <c r="X5" t="s">
        <v>132</v>
      </c>
      <c r="Y5" t="s">
        <v>133</v>
      </c>
      <c r="AF5" t="s">
        <v>133</v>
      </c>
    </row>
    <row r="6" spans="1:32" ht="14.4" customHeight="1" x14ac:dyDescent="0.35">
      <c r="B6" s="15" t="s">
        <v>41</v>
      </c>
      <c r="C6" t="s">
        <v>130</v>
      </c>
      <c r="D6" t="s">
        <v>33</v>
      </c>
      <c r="E6" t="s">
        <v>34</v>
      </c>
      <c r="F6" t="s">
        <v>134</v>
      </c>
      <c r="X6" t="s">
        <v>135</v>
      </c>
      <c r="Y6" t="s">
        <v>128</v>
      </c>
    </row>
    <row r="7" spans="1:32" ht="14.4" customHeight="1" x14ac:dyDescent="0.35">
      <c r="B7" t="s">
        <v>118</v>
      </c>
      <c r="C7" t="s">
        <v>130</v>
      </c>
      <c r="D7" t="s">
        <v>33</v>
      </c>
    </row>
    <row r="8" spans="1:32" ht="158.4" customHeight="1" x14ac:dyDescent="0.35">
      <c r="B8" t="s">
        <v>136</v>
      </c>
      <c r="C8" t="s">
        <v>137</v>
      </c>
      <c r="D8" t="s">
        <v>124</v>
      </c>
      <c r="E8" t="s">
        <v>124</v>
      </c>
      <c r="F8" s="2" t="s">
        <v>138</v>
      </c>
      <c r="G8" t="s">
        <v>139</v>
      </c>
      <c r="X8" t="s">
        <v>140</v>
      </c>
      <c r="Y8" t="s">
        <v>133</v>
      </c>
    </row>
    <row r="9" spans="1:32" ht="14.4" customHeight="1" x14ac:dyDescent="0.35">
      <c r="B9" t="s">
        <v>141</v>
      </c>
      <c r="G9" t="s">
        <v>142</v>
      </c>
      <c r="X9" t="s">
        <v>143</v>
      </c>
      <c r="Y9" t="s">
        <v>133</v>
      </c>
    </row>
    <row r="10" spans="1:32" ht="14.4" customHeight="1" x14ac:dyDescent="0.35">
      <c r="G10" s="2"/>
      <c r="X10" t="s">
        <v>144</v>
      </c>
      <c r="Y10" t="s">
        <v>128</v>
      </c>
    </row>
    <row r="11" spans="1:32" ht="14.4" customHeight="1" x14ac:dyDescent="0.35">
      <c r="X11" t="s">
        <v>145</v>
      </c>
      <c r="Y11" t="s">
        <v>129</v>
      </c>
      <c r="Z11">
        <v>15000</v>
      </c>
      <c r="AA11">
        <v>800000</v>
      </c>
    </row>
    <row r="12" spans="1:32" ht="14.4" customHeight="1" x14ac:dyDescent="0.35">
      <c r="X12" t="s">
        <v>146</v>
      </c>
      <c r="Y12" t="s">
        <v>128</v>
      </c>
    </row>
    <row r="13" spans="1:32" ht="14.4" customHeight="1" x14ac:dyDescent="0.35">
      <c r="F13" s="2"/>
    </row>
    <row r="14" spans="1:32" ht="14.4" customHeight="1" x14ac:dyDescent="0.35"/>
    <row r="15" spans="1:32" ht="14.4" customHeight="1" x14ac:dyDescent="0.35">
      <c r="X15" s="4" t="s">
        <v>64</v>
      </c>
    </row>
    <row r="16" spans="1:32" ht="14.4" customHeight="1" x14ac:dyDescent="0.35">
      <c r="F16" s="2"/>
      <c r="X16" s="5" t="s">
        <v>65</v>
      </c>
      <c r="Y16" s="5" t="s">
        <v>66</v>
      </c>
    </row>
    <row r="17" spans="6:29" ht="14.4" customHeight="1" x14ac:dyDescent="0.35">
      <c r="X17" t="s">
        <v>67</v>
      </c>
      <c r="Y17" t="s">
        <v>43</v>
      </c>
    </row>
    <row r="18" spans="6:29" ht="14.4" customHeight="1" x14ac:dyDescent="0.35">
      <c r="F18" s="2"/>
      <c r="X18" t="s">
        <v>71</v>
      </c>
      <c r="Y18" t="s">
        <v>72</v>
      </c>
    </row>
    <row r="19" spans="6:29" ht="14.4" customHeight="1" x14ac:dyDescent="0.35"/>
    <row r="20" spans="6:29" ht="14.4" customHeight="1" x14ac:dyDescent="0.35"/>
    <row r="21" spans="6:29" ht="14.4" customHeight="1" x14ac:dyDescent="0.35"/>
    <row r="22" spans="6:29" ht="14.4" customHeight="1" x14ac:dyDescent="0.35"/>
    <row r="23" spans="6:29" ht="14.4" customHeight="1" x14ac:dyDescent="0.35"/>
    <row r="24" spans="6:29" ht="15" customHeight="1" x14ac:dyDescent="0.35">
      <c r="X24" s="32"/>
      <c r="Y24" s="32"/>
      <c r="Z24" s="6"/>
      <c r="AA24" s="6"/>
      <c r="AB24" s="6"/>
    </row>
    <row r="25" spans="6:29" ht="14.4" customHeight="1" x14ac:dyDescent="0.35">
      <c r="Z25" s="6"/>
      <c r="AA25" s="6"/>
      <c r="AB25" s="32"/>
      <c r="AC25" s="32"/>
    </row>
    <row r="26" spans="6:29" ht="14.4" customHeight="1" x14ac:dyDescent="0.35">
      <c r="Z26" s="6"/>
      <c r="AA26" s="6"/>
      <c r="AB26" s="6"/>
    </row>
    <row r="27" spans="6:29" ht="14.4" customHeight="1" x14ac:dyDescent="0.35">
      <c r="Z27" s="6"/>
      <c r="AA27" s="6"/>
      <c r="AB27" s="6"/>
    </row>
    <row r="28" spans="6:29" ht="14.4" customHeight="1" x14ac:dyDescent="0.35">
      <c r="Z28" s="6"/>
      <c r="AA28" s="6"/>
      <c r="AB28" s="6"/>
    </row>
    <row r="29" spans="6:29" ht="14.4" customHeight="1" x14ac:dyDescent="0.35">
      <c r="Z29" s="6"/>
      <c r="AA29" s="6"/>
      <c r="AB29" s="6"/>
    </row>
    <row r="30" spans="6:29" ht="14.4" customHeight="1" x14ac:dyDescent="0.35">
      <c r="Z30" s="6"/>
      <c r="AA30" s="6"/>
      <c r="AB30" s="6"/>
    </row>
    <row r="31" spans="6:29" ht="14.4" customHeight="1" x14ac:dyDescent="0.35">
      <c r="Z31" s="6"/>
      <c r="AA31" s="6"/>
      <c r="AB31" s="6"/>
    </row>
    <row r="32" spans="6:29" ht="14.4" customHeight="1" x14ac:dyDescent="0.35">
      <c r="Z32" s="6"/>
      <c r="AA32" s="6"/>
      <c r="AB32" s="6"/>
    </row>
    <row r="33" spans="2:28" ht="14.4" customHeight="1" x14ac:dyDescent="0.35">
      <c r="Z33" s="6"/>
      <c r="AA33" s="6"/>
      <c r="AB33" s="6"/>
    </row>
    <row r="34" spans="2:28" ht="14.4" customHeight="1" x14ac:dyDescent="0.35">
      <c r="Z34" s="6"/>
      <c r="AA34" s="6"/>
      <c r="AB34" s="6"/>
    </row>
    <row r="38" spans="2:28" ht="14.5" x14ac:dyDescent="0.35">
      <c r="B38" s="40"/>
    </row>
  </sheetData>
  <mergeCells count="1">
    <mergeCell ref="AB1:AC1"/>
  </mergeCells>
  <dataValidations count="3">
    <dataValidation type="list" allowBlank="1" showInputMessage="1" showErrorMessage="1" sqref="F10" xr:uid="{00000000-0002-0000-0100-000000000000}">
      <formula1>$X$17:$X$18</formula1>
    </dataValidation>
    <dataValidation type="list" allowBlank="1" showInputMessage="1" showErrorMessage="1" sqref="F3:F7 F9" xr:uid="{00000000-0002-0000-0100-000001000000}">
      <formula1>$X$3:$X$12</formula1>
    </dataValidation>
    <dataValidation type="list" allowBlank="1" showInputMessage="1" showErrorMessage="1" sqref="Y3:Y12" xr:uid="{00000000-0002-0000-0100-000002000000}">
      <formula1>$AF$3:$AF$5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6"/>
  <sheetViews>
    <sheetView zoomScale="85" zoomScaleNormal="85" workbookViewId="0">
      <selection activeCell="A4" sqref="A4:F4"/>
    </sheetView>
  </sheetViews>
  <sheetFormatPr defaultRowHeight="14.5" x14ac:dyDescent="0.35"/>
  <cols>
    <col min="1" max="1" width="49.54296875" customWidth="1"/>
    <col min="2" max="2" width="33.453125" customWidth="1"/>
    <col min="3" max="3" width="22.54296875" customWidth="1"/>
    <col min="5" max="5" width="20.54296875" customWidth="1"/>
    <col min="6" max="6" width="35.08984375" bestFit="1" customWidth="1"/>
    <col min="7" max="7" width="28" customWidth="1"/>
    <col min="21" max="22" width="9.08984375" style="11" customWidth="1"/>
  </cols>
  <sheetData>
    <row r="1" spans="1:24" x14ac:dyDescent="0.35">
      <c r="U1" s="10"/>
      <c r="V1" s="10"/>
    </row>
    <row r="2" spans="1:24" x14ac:dyDescent="0.35">
      <c r="U2" s="10"/>
      <c r="V2" s="10"/>
      <c r="W2" t="s">
        <v>0</v>
      </c>
    </row>
    <row r="3" spans="1:24" x14ac:dyDescent="0.35">
      <c r="B3" s="13" t="s">
        <v>8</v>
      </c>
      <c r="C3" s="13" t="s">
        <v>9</v>
      </c>
      <c r="D3" s="13" t="s">
        <v>10</v>
      </c>
      <c r="E3" s="13" t="s">
        <v>11</v>
      </c>
      <c r="F3" s="13" t="s">
        <v>12</v>
      </c>
      <c r="U3" s="10"/>
      <c r="V3" s="10"/>
      <c r="X3" s="4" t="s">
        <v>147</v>
      </c>
    </row>
    <row r="4" spans="1:24" x14ac:dyDescent="0.35">
      <c r="A4" t="s">
        <v>148</v>
      </c>
      <c r="B4" t="s">
        <v>122</v>
      </c>
      <c r="C4" t="s">
        <v>137</v>
      </c>
      <c r="D4" t="s">
        <v>149</v>
      </c>
      <c r="E4" t="s">
        <v>124</v>
      </c>
      <c r="F4" t="s">
        <v>150</v>
      </c>
      <c r="U4" s="10"/>
      <c r="V4" s="10"/>
      <c r="X4" s="8" t="s">
        <v>127</v>
      </c>
    </row>
    <row r="5" spans="1:24" x14ac:dyDescent="0.35">
      <c r="A5" t="s">
        <v>151</v>
      </c>
      <c r="B5" t="s">
        <v>152</v>
      </c>
      <c r="C5" t="s">
        <v>147</v>
      </c>
      <c r="D5" t="s">
        <v>149</v>
      </c>
      <c r="E5" t="s">
        <v>124</v>
      </c>
      <c r="F5" t="s">
        <v>127</v>
      </c>
      <c r="G5" t="s">
        <v>153</v>
      </c>
      <c r="U5" s="10"/>
      <c r="V5" s="10"/>
      <c r="X5" s="8" t="s">
        <v>125</v>
      </c>
    </row>
    <row r="6" spans="1:24" x14ac:dyDescent="0.35">
      <c r="B6" t="s">
        <v>154</v>
      </c>
      <c r="C6" t="s">
        <v>176</v>
      </c>
      <c r="D6" t="s">
        <v>149</v>
      </c>
      <c r="E6" t="s">
        <v>124</v>
      </c>
      <c r="F6" t="s">
        <v>155</v>
      </c>
      <c r="U6" s="10"/>
      <c r="V6" s="10"/>
      <c r="X6" s="8" t="s">
        <v>132</v>
      </c>
    </row>
    <row r="7" spans="1:24" x14ac:dyDescent="0.35">
      <c r="U7" s="10"/>
      <c r="V7" s="10"/>
      <c r="X7" s="8"/>
    </row>
    <row r="8" spans="1:24" x14ac:dyDescent="0.35">
      <c r="A8" t="s">
        <v>156</v>
      </c>
      <c r="B8" t="s">
        <v>157</v>
      </c>
      <c r="C8" t="s">
        <v>137</v>
      </c>
      <c r="D8" t="s">
        <v>33</v>
      </c>
      <c r="E8" t="s">
        <v>34</v>
      </c>
      <c r="F8" t="s">
        <v>158</v>
      </c>
      <c r="U8" s="10"/>
      <c r="V8" s="10"/>
      <c r="X8" s="8" t="s">
        <v>135</v>
      </c>
    </row>
    <row r="9" spans="1:24" x14ac:dyDescent="0.35">
      <c r="B9" t="s">
        <v>610</v>
      </c>
      <c r="C9" t="s">
        <v>137</v>
      </c>
      <c r="D9" t="s">
        <v>33</v>
      </c>
      <c r="E9" t="s">
        <v>34</v>
      </c>
      <c r="F9" t="s">
        <v>158</v>
      </c>
      <c r="U9" s="10"/>
      <c r="V9" s="10"/>
      <c r="X9" s="8" t="s">
        <v>159</v>
      </c>
    </row>
    <row r="10" spans="1:24" x14ac:dyDescent="0.35">
      <c r="B10" t="s">
        <v>160</v>
      </c>
      <c r="C10" t="s">
        <v>137</v>
      </c>
      <c r="D10" t="s">
        <v>33</v>
      </c>
      <c r="E10" t="s">
        <v>34</v>
      </c>
      <c r="F10" t="s">
        <v>158</v>
      </c>
      <c r="U10" s="10"/>
      <c r="V10" s="10"/>
      <c r="X10" s="8" t="s">
        <v>140</v>
      </c>
    </row>
    <row r="11" spans="1:24" x14ac:dyDescent="0.35">
      <c r="B11" t="s">
        <v>161</v>
      </c>
      <c r="C11" t="s">
        <v>137</v>
      </c>
      <c r="D11" t="s">
        <v>33</v>
      </c>
      <c r="E11" t="s">
        <v>34</v>
      </c>
      <c r="F11" t="s">
        <v>158</v>
      </c>
      <c r="U11" s="10"/>
      <c r="V11" s="10"/>
      <c r="X11" s="8" t="s">
        <v>143</v>
      </c>
    </row>
    <row r="12" spans="1:24" x14ac:dyDescent="0.35">
      <c r="B12" t="s">
        <v>164</v>
      </c>
      <c r="C12" t="s">
        <v>137</v>
      </c>
      <c r="D12" t="s">
        <v>33</v>
      </c>
      <c r="E12" t="s">
        <v>34</v>
      </c>
      <c r="F12" t="s">
        <v>158</v>
      </c>
      <c r="U12" s="10"/>
      <c r="V12" s="10"/>
      <c r="X12" s="8" t="s">
        <v>145</v>
      </c>
    </row>
    <row r="13" spans="1:24" x14ac:dyDescent="0.35">
      <c r="B13" t="s">
        <v>162</v>
      </c>
      <c r="C13" t="s">
        <v>163</v>
      </c>
      <c r="D13" t="s">
        <v>149</v>
      </c>
      <c r="E13" t="s">
        <v>124</v>
      </c>
      <c r="U13" s="10"/>
      <c r="V13" s="10"/>
      <c r="X13" s="8" t="s">
        <v>144</v>
      </c>
    </row>
    <row r="14" spans="1:24" x14ac:dyDescent="0.35">
      <c r="B14" t="s">
        <v>611</v>
      </c>
      <c r="C14" t="s">
        <v>137</v>
      </c>
      <c r="D14" t="s">
        <v>33</v>
      </c>
      <c r="E14" t="s">
        <v>34</v>
      </c>
      <c r="F14" t="s">
        <v>612</v>
      </c>
      <c r="U14" s="10"/>
      <c r="V14" s="10"/>
      <c r="X14" s="8" t="s">
        <v>145</v>
      </c>
    </row>
    <row r="15" spans="1:24" x14ac:dyDescent="0.35">
      <c r="B15" t="s">
        <v>613</v>
      </c>
      <c r="C15" t="s">
        <v>176</v>
      </c>
      <c r="D15" t="s">
        <v>33</v>
      </c>
      <c r="E15" t="s">
        <v>33</v>
      </c>
      <c r="F15" t="s">
        <v>620</v>
      </c>
      <c r="U15" s="10"/>
      <c r="V15" s="10"/>
      <c r="X15" s="8"/>
    </row>
    <row r="16" spans="1:24" x14ac:dyDescent="0.35">
      <c r="B16" t="s">
        <v>619</v>
      </c>
      <c r="C16" t="s">
        <v>176</v>
      </c>
      <c r="D16" t="s">
        <v>33</v>
      </c>
      <c r="E16" t="s">
        <v>33</v>
      </c>
      <c r="F16" t="s">
        <v>623</v>
      </c>
      <c r="U16" s="10"/>
      <c r="V16" s="10"/>
      <c r="X16" s="8"/>
    </row>
    <row r="17" spans="1:24" x14ac:dyDescent="0.35">
      <c r="B17" t="s">
        <v>614</v>
      </c>
      <c r="C17" t="s">
        <v>137</v>
      </c>
      <c r="D17" t="s">
        <v>149</v>
      </c>
      <c r="E17" t="s">
        <v>124</v>
      </c>
      <c r="F17" t="s">
        <v>165</v>
      </c>
      <c r="X17" s="8" t="s">
        <v>146</v>
      </c>
    </row>
    <row r="18" spans="1:24" x14ac:dyDescent="0.35">
      <c r="B18" t="s">
        <v>615</v>
      </c>
      <c r="C18" t="s">
        <v>137</v>
      </c>
      <c r="D18" t="s">
        <v>149</v>
      </c>
      <c r="E18" t="s">
        <v>124</v>
      </c>
      <c r="F18" t="s">
        <v>167</v>
      </c>
    </row>
    <row r="19" spans="1:24" ht="86.4" customHeight="1" x14ac:dyDescent="0.35">
      <c r="B19" t="s">
        <v>616</v>
      </c>
      <c r="C19" t="s">
        <v>137</v>
      </c>
      <c r="D19" t="s">
        <v>124</v>
      </c>
      <c r="E19" t="s">
        <v>124</v>
      </c>
      <c r="F19" s="2" t="s">
        <v>168</v>
      </c>
      <c r="X19" s="4" t="s">
        <v>169</v>
      </c>
    </row>
    <row r="20" spans="1:24" ht="57.65" customHeight="1" x14ac:dyDescent="0.35">
      <c r="B20" t="s">
        <v>617</v>
      </c>
      <c r="C20" t="s">
        <v>137</v>
      </c>
      <c r="D20" t="s">
        <v>124</v>
      </c>
      <c r="F20" s="2" t="s">
        <v>170</v>
      </c>
      <c r="X20" t="s">
        <v>165</v>
      </c>
    </row>
    <row r="21" spans="1:24" ht="57.65" customHeight="1" x14ac:dyDescent="0.35">
      <c r="B21" t="s">
        <v>618</v>
      </c>
      <c r="C21" t="s">
        <v>171</v>
      </c>
      <c r="D21" t="s">
        <v>124</v>
      </c>
      <c r="E21" t="s">
        <v>33</v>
      </c>
      <c r="F21" s="2" t="s">
        <v>172</v>
      </c>
      <c r="G21" s="2" t="s">
        <v>173</v>
      </c>
      <c r="X21" t="s">
        <v>174</v>
      </c>
    </row>
    <row r="22" spans="1:24" x14ac:dyDescent="0.35">
      <c r="B22" t="s">
        <v>175</v>
      </c>
      <c r="C22" t="s">
        <v>176</v>
      </c>
      <c r="D22" t="s">
        <v>124</v>
      </c>
      <c r="E22" t="s">
        <v>124</v>
      </c>
      <c r="F22" t="s">
        <v>177</v>
      </c>
      <c r="X22" t="s">
        <v>178</v>
      </c>
    </row>
    <row r="23" spans="1:24" x14ac:dyDescent="0.35">
      <c r="A23" t="s">
        <v>179</v>
      </c>
      <c r="X23" t="s">
        <v>180</v>
      </c>
    </row>
    <row r="24" spans="1:24" ht="115.25" customHeight="1" x14ac:dyDescent="0.35">
      <c r="A24" t="s">
        <v>190</v>
      </c>
      <c r="B24" t="s">
        <v>191</v>
      </c>
      <c r="F24" s="2" t="s">
        <v>624</v>
      </c>
      <c r="X24" t="s">
        <v>172</v>
      </c>
    </row>
    <row r="25" spans="1:24" x14ac:dyDescent="0.35">
      <c r="B25" t="s">
        <v>621</v>
      </c>
    </row>
    <row r="26" spans="1:24" x14ac:dyDescent="0.35">
      <c r="A26" t="s">
        <v>181</v>
      </c>
      <c r="B26" t="s">
        <v>182</v>
      </c>
      <c r="C26" t="s">
        <v>137</v>
      </c>
      <c r="D26" t="s">
        <v>124</v>
      </c>
      <c r="E26" t="s">
        <v>124</v>
      </c>
    </row>
    <row r="27" spans="1:24" x14ac:dyDescent="0.35">
      <c r="B27" t="s">
        <v>183</v>
      </c>
      <c r="C27" t="s">
        <v>137</v>
      </c>
      <c r="D27" t="s">
        <v>124</v>
      </c>
      <c r="E27" t="s">
        <v>124</v>
      </c>
      <c r="X27" t="s">
        <v>165</v>
      </c>
    </row>
    <row r="28" spans="1:24" x14ac:dyDescent="0.35">
      <c r="B28" t="s">
        <v>184</v>
      </c>
      <c r="C28" t="s">
        <v>137</v>
      </c>
      <c r="D28" t="s">
        <v>124</v>
      </c>
      <c r="E28" t="s">
        <v>124</v>
      </c>
      <c r="X28" t="s">
        <v>185</v>
      </c>
    </row>
    <row r="29" spans="1:24" ht="28.75" customHeight="1" x14ac:dyDescent="0.35">
      <c r="B29" t="s">
        <v>186</v>
      </c>
      <c r="C29" t="s">
        <v>137</v>
      </c>
      <c r="D29" t="s">
        <v>149</v>
      </c>
      <c r="E29" t="s">
        <v>124</v>
      </c>
      <c r="F29" s="2" t="s">
        <v>187</v>
      </c>
    </row>
    <row r="30" spans="1:24" ht="28.75" customHeight="1" x14ac:dyDescent="0.35">
      <c r="B30" t="s">
        <v>622</v>
      </c>
      <c r="C30" t="s">
        <v>137</v>
      </c>
      <c r="D30" t="s">
        <v>124</v>
      </c>
      <c r="E30" t="s">
        <v>124</v>
      </c>
      <c r="F30" s="2"/>
    </row>
    <row r="31" spans="1:24" ht="72" customHeight="1" x14ac:dyDescent="0.35">
      <c r="B31" t="s">
        <v>188</v>
      </c>
      <c r="C31" t="s">
        <v>176</v>
      </c>
      <c r="D31" t="s">
        <v>124</v>
      </c>
      <c r="E31" t="s">
        <v>124</v>
      </c>
      <c r="F31" s="2" t="s">
        <v>189</v>
      </c>
      <c r="X31" s="4" t="s">
        <v>171</v>
      </c>
    </row>
    <row r="32" spans="1:24" ht="72" customHeight="1" x14ac:dyDescent="0.35">
      <c r="F32" s="2"/>
      <c r="X32" s="4"/>
    </row>
    <row r="33" spans="1:24" x14ac:dyDescent="0.35">
      <c r="A33" t="s">
        <v>192</v>
      </c>
      <c r="B33" t="s">
        <v>193</v>
      </c>
      <c r="C33" s="9" t="s">
        <v>194</v>
      </c>
      <c r="D33" t="s">
        <v>149</v>
      </c>
      <c r="E33" t="s">
        <v>124</v>
      </c>
      <c r="F33" t="s">
        <v>195</v>
      </c>
      <c r="X33" t="s">
        <v>196</v>
      </c>
    </row>
    <row r="34" spans="1:24" ht="86.4" customHeight="1" x14ac:dyDescent="0.35">
      <c r="B34" t="s">
        <v>197</v>
      </c>
      <c r="C34" t="s">
        <v>176</v>
      </c>
      <c r="D34" t="s">
        <v>149</v>
      </c>
      <c r="E34" t="s">
        <v>124</v>
      </c>
      <c r="F34" s="2" t="s">
        <v>198</v>
      </c>
      <c r="X34" t="s">
        <v>199</v>
      </c>
    </row>
    <row r="35" spans="1:24" x14ac:dyDescent="0.35">
      <c r="A35" t="s">
        <v>200</v>
      </c>
      <c r="B35" s="9" t="s">
        <v>157</v>
      </c>
      <c r="C35" t="s">
        <v>137</v>
      </c>
      <c r="D35" t="s">
        <v>33</v>
      </c>
      <c r="E35" s="9" t="s">
        <v>201</v>
      </c>
    </row>
    <row r="36" spans="1:24" x14ac:dyDescent="0.35">
      <c r="B36" s="9" t="s">
        <v>202</v>
      </c>
      <c r="C36" t="s">
        <v>137</v>
      </c>
      <c r="D36" t="s">
        <v>33</v>
      </c>
      <c r="E36" s="9" t="s">
        <v>201</v>
      </c>
      <c r="X36" s="4" t="s">
        <v>203</v>
      </c>
    </row>
    <row r="37" spans="1:24" x14ac:dyDescent="0.35">
      <c r="B37" s="12" t="s">
        <v>204</v>
      </c>
      <c r="C37" t="s">
        <v>137</v>
      </c>
      <c r="D37" t="s">
        <v>33</v>
      </c>
      <c r="E37" s="9" t="s">
        <v>201</v>
      </c>
      <c r="X37" t="s">
        <v>195</v>
      </c>
    </row>
    <row r="38" spans="1:24" ht="57.65" customHeight="1" x14ac:dyDescent="0.35">
      <c r="B38" s="12" t="s">
        <v>205</v>
      </c>
      <c r="F38" s="2" t="s">
        <v>206</v>
      </c>
      <c r="X38" t="s">
        <v>207</v>
      </c>
    </row>
    <row r="39" spans="1:24" x14ac:dyDescent="0.35">
      <c r="B39" t="s">
        <v>175</v>
      </c>
      <c r="C39" t="s">
        <v>176</v>
      </c>
      <c r="D39" t="s">
        <v>124</v>
      </c>
      <c r="E39" t="s">
        <v>124</v>
      </c>
      <c r="F39" t="s">
        <v>177</v>
      </c>
      <c r="X39" t="s">
        <v>208</v>
      </c>
    </row>
    <row r="40" spans="1:24" x14ac:dyDescent="0.35">
      <c r="X40" t="s">
        <v>209</v>
      </c>
    </row>
    <row r="41" spans="1:24" x14ac:dyDescent="0.35">
      <c r="X41" t="s">
        <v>210</v>
      </c>
    </row>
    <row r="42" spans="1:24" x14ac:dyDescent="0.35">
      <c r="X42" t="s">
        <v>211</v>
      </c>
    </row>
    <row r="43" spans="1:24" x14ac:dyDescent="0.35">
      <c r="X43" t="s">
        <v>212</v>
      </c>
    </row>
    <row r="44" spans="1:24" x14ac:dyDescent="0.35">
      <c r="X44" t="s">
        <v>213</v>
      </c>
    </row>
    <row r="45" spans="1:24" x14ac:dyDescent="0.35">
      <c r="X45" t="s">
        <v>214</v>
      </c>
    </row>
    <row r="49" spans="2:7" x14ac:dyDescent="0.35">
      <c r="B49" s="37" t="s">
        <v>8</v>
      </c>
      <c r="C49" s="37" t="s">
        <v>215</v>
      </c>
      <c r="D49" s="37" t="s">
        <v>216</v>
      </c>
      <c r="E49" s="37" t="s">
        <v>217</v>
      </c>
      <c r="F49" s="37" t="s">
        <v>218</v>
      </c>
      <c r="G49" s="37" t="s">
        <v>219</v>
      </c>
    </row>
    <row r="50" spans="2:7" ht="58" x14ac:dyDescent="0.35">
      <c r="B50" t="s">
        <v>220</v>
      </c>
      <c r="C50" t="s">
        <v>221</v>
      </c>
      <c r="D50" t="s">
        <v>19</v>
      </c>
      <c r="E50" t="s">
        <v>19</v>
      </c>
      <c r="F50" s="41" t="s">
        <v>222</v>
      </c>
      <c r="G50" s="42"/>
    </row>
    <row r="51" spans="2:7" ht="58" x14ac:dyDescent="0.35">
      <c r="B51" t="s">
        <v>223</v>
      </c>
      <c r="C51" t="s">
        <v>224</v>
      </c>
      <c r="D51" t="s">
        <v>19</v>
      </c>
      <c r="E51" t="s">
        <v>225</v>
      </c>
      <c r="F51" s="41" t="s">
        <v>226</v>
      </c>
      <c r="G51" s="42"/>
    </row>
    <row r="52" spans="2:7" ht="43.5" x14ac:dyDescent="0.35">
      <c r="B52" t="s">
        <v>227</v>
      </c>
      <c r="C52" t="s">
        <v>228</v>
      </c>
      <c r="D52" t="s">
        <v>19</v>
      </c>
      <c r="E52" t="s">
        <v>19</v>
      </c>
      <c r="F52" s="41" t="s">
        <v>229</v>
      </c>
      <c r="G52" s="43"/>
    </row>
    <row r="53" spans="2:7" ht="29" x14ac:dyDescent="0.35">
      <c r="B53" t="s">
        <v>230</v>
      </c>
      <c r="C53" t="s">
        <v>231</v>
      </c>
      <c r="D53" t="s">
        <v>19</v>
      </c>
      <c r="E53" t="s">
        <v>232</v>
      </c>
      <c r="F53" s="41" t="s">
        <v>233</v>
      </c>
      <c r="G53" s="43"/>
    </row>
    <row r="54" spans="2:7" ht="29" x14ac:dyDescent="0.35">
      <c r="B54" t="s">
        <v>234</v>
      </c>
      <c r="C54" t="s">
        <v>231</v>
      </c>
      <c r="D54" t="s">
        <v>19</v>
      </c>
      <c r="E54" t="s">
        <v>232</v>
      </c>
      <c r="F54" s="41" t="s">
        <v>233</v>
      </c>
      <c r="G54" s="43"/>
    </row>
    <row r="55" spans="2:7" ht="29" x14ac:dyDescent="0.35">
      <c r="B55" t="s">
        <v>235</v>
      </c>
      <c r="C55" t="s">
        <v>236</v>
      </c>
      <c r="D55" t="s">
        <v>19</v>
      </c>
      <c r="E55" t="s">
        <v>19</v>
      </c>
      <c r="F55" s="41" t="s">
        <v>237</v>
      </c>
      <c r="G55" s="42"/>
    </row>
    <row r="56" spans="2:7" ht="29" x14ac:dyDescent="0.35">
      <c r="B56" t="s">
        <v>238</v>
      </c>
      <c r="C56" t="s">
        <v>239</v>
      </c>
      <c r="D56" t="s">
        <v>19</v>
      </c>
      <c r="E56" t="s">
        <v>19</v>
      </c>
      <c r="F56" s="41" t="s">
        <v>240</v>
      </c>
      <c r="G56" s="42"/>
    </row>
    <row r="57" spans="2:7" ht="43.5" x14ac:dyDescent="0.35">
      <c r="B57" t="s">
        <v>241</v>
      </c>
      <c r="C57" t="s">
        <v>242</v>
      </c>
      <c r="D57" t="s">
        <v>19</v>
      </c>
      <c r="E57" t="s">
        <v>19</v>
      </c>
      <c r="F57" s="41" t="s">
        <v>243</v>
      </c>
      <c r="G57" s="42"/>
    </row>
    <row r="58" spans="2:7" ht="29" x14ac:dyDescent="0.35">
      <c r="B58" t="s">
        <v>244</v>
      </c>
      <c r="C58" t="s">
        <v>245</v>
      </c>
      <c r="D58" t="s">
        <v>19</v>
      </c>
      <c r="E58" t="s">
        <v>246</v>
      </c>
      <c r="F58" s="41" t="s">
        <v>247</v>
      </c>
      <c r="G58" s="43"/>
    </row>
    <row r="59" spans="2:7" ht="58" x14ac:dyDescent="0.35">
      <c r="B59" t="s">
        <v>248</v>
      </c>
      <c r="C59" t="s">
        <v>249</v>
      </c>
      <c r="D59" t="s">
        <v>19</v>
      </c>
      <c r="E59" t="s">
        <v>19</v>
      </c>
      <c r="F59" s="41" t="s">
        <v>250</v>
      </c>
      <c r="G59" s="42"/>
    </row>
    <row r="60" spans="2:7" ht="43.5" x14ac:dyDescent="0.35">
      <c r="B60" t="s">
        <v>251</v>
      </c>
      <c r="C60" t="s">
        <v>252</v>
      </c>
      <c r="D60" t="s">
        <v>33</v>
      </c>
      <c r="E60" t="s">
        <v>19</v>
      </c>
      <c r="F60" s="41" t="s">
        <v>253</v>
      </c>
      <c r="G60" s="42"/>
    </row>
    <row r="64" spans="2:7" ht="72.5" x14ac:dyDescent="0.35">
      <c r="B64" s="40" t="s">
        <v>254</v>
      </c>
    </row>
    <row r="65" spans="2:2" x14ac:dyDescent="0.35">
      <c r="B65" s="40"/>
    </row>
    <row r="66" spans="2:2" ht="43.5" x14ac:dyDescent="0.35">
      <c r="B66" s="40" t="s">
        <v>255</v>
      </c>
    </row>
  </sheetData>
  <dataValidations count="4">
    <dataValidation type="list" allowBlank="1" showInputMessage="1" showErrorMessage="1" sqref="F17" xr:uid="{00000000-0002-0000-0200-000001000000}">
      <formula1>$X$20:$X$23</formula1>
    </dataValidation>
    <dataValidation type="list" allowBlank="1" showInputMessage="1" showErrorMessage="1" sqref="F33" xr:uid="{00000000-0002-0000-0200-000003000000}">
      <formula1>$X$37:$X$45</formula1>
    </dataValidation>
    <dataValidation type="list" allowBlank="1" showInputMessage="1" showErrorMessage="1" sqref="F5" xr:uid="{00000000-0002-0000-0200-000000000000}">
      <formula1>$X$3:$X$13</formula1>
    </dataValidation>
    <dataValidation type="list" allowBlank="1" showInputMessage="1" showErrorMessage="1" sqref="F21" xr:uid="{00000000-0002-0000-0200-000002000000}">
      <formula1>$X$24:$X$34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U45"/>
  <sheetViews>
    <sheetView zoomScale="85" zoomScaleNormal="85" workbookViewId="0">
      <selection activeCell="F22" sqref="F22"/>
    </sheetView>
  </sheetViews>
  <sheetFormatPr defaultRowHeight="14.5" x14ac:dyDescent="0.35"/>
  <cols>
    <col min="1" max="1" width="12.36328125" customWidth="1"/>
    <col min="2" max="2" width="27.54296875" customWidth="1"/>
    <col min="3" max="3" width="14.36328125" customWidth="1"/>
    <col min="4" max="4" width="12.36328125" customWidth="1"/>
    <col min="5" max="5" width="15.36328125" customWidth="1"/>
    <col min="6" max="6" width="22" customWidth="1"/>
    <col min="18" max="19" width="9.08984375" style="11" customWidth="1"/>
    <col min="21" max="21" width="20.453125" customWidth="1"/>
  </cols>
  <sheetData>
    <row r="2" spans="1:21" x14ac:dyDescent="0.35">
      <c r="B2" s="13" t="s">
        <v>8</v>
      </c>
      <c r="C2" s="13" t="s">
        <v>9</v>
      </c>
      <c r="D2" s="13" t="s">
        <v>10</v>
      </c>
      <c r="E2" s="13" t="s">
        <v>11</v>
      </c>
      <c r="F2" s="13" t="s">
        <v>12</v>
      </c>
      <c r="T2" t="s">
        <v>256</v>
      </c>
    </row>
    <row r="3" spans="1:21" x14ac:dyDescent="0.35">
      <c r="A3" t="s">
        <v>339</v>
      </c>
      <c r="D3" t="s">
        <v>340</v>
      </c>
      <c r="U3" s="4" t="s">
        <v>341</v>
      </c>
    </row>
    <row r="4" spans="1:21" x14ac:dyDescent="0.35">
      <c r="A4" t="s">
        <v>342</v>
      </c>
      <c r="B4" t="s">
        <v>342</v>
      </c>
      <c r="C4" t="s">
        <v>163</v>
      </c>
      <c r="D4" t="s">
        <v>340</v>
      </c>
      <c r="E4" t="s">
        <v>33</v>
      </c>
      <c r="F4" t="s">
        <v>343</v>
      </c>
      <c r="U4" t="s">
        <v>344</v>
      </c>
    </row>
    <row r="5" spans="1:21" x14ac:dyDescent="0.35">
      <c r="A5" t="s">
        <v>345</v>
      </c>
      <c r="B5" t="s">
        <v>346</v>
      </c>
      <c r="U5" t="s">
        <v>347</v>
      </c>
    </row>
    <row r="6" spans="1:21" x14ac:dyDescent="0.35">
      <c r="B6" t="s">
        <v>348</v>
      </c>
      <c r="C6" t="s">
        <v>349</v>
      </c>
      <c r="D6" t="s">
        <v>340</v>
      </c>
      <c r="E6" t="s">
        <v>124</v>
      </c>
      <c r="F6" t="s">
        <v>344</v>
      </c>
    </row>
    <row r="7" spans="1:21" x14ac:dyDescent="0.35">
      <c r="B7" t="s">
        <v>350</v>
      </c>
      <c r="C7" t="s">
        <v>351</v>
      </c>
      <c r="D7" t="s">
        <v>340</v>
      </c>
      <c r="E7" t="s">
        <v>124</v>
      </c>
      <c r="F7" t="s">
        <v>352</v>
      </c>
      <c r="U7" s="4" t="s">
        <v>353</v>
      </c>
    </row>
    <row r="8" spans="1:21" x14ac:dyDescent="0.35">
      <c r="B8" t="s">
        <v>355</v>
      </c>
      <c r="C8" t="s">
        <v>356</v>
      </c>
      <c r="D8" t="s">
        <v>340</v>
      </c>
      <c r="E8" t="s">
        <v>124</v>
      </c>
      <c r="F8" t="s">
        <v>357</v>
      </c>
      <c r="U8" t="s">
        <v>358</v>
      </c>
    </row>
    <row r="9" spans="1:21" x14ac:dyDescent="0.35">
      <c r="B9" t="s">
        <v>354</v>
      </c>
      <c r="C9" t="s">
        <v>314</v>
      </c>
      <c r="D9" t="s">
        <v>124</v>
      </c>
      <c r="E9" t="s">
        <v>124</v>
      </c>
      <c r="U9" t="s">
        <v>352</v>
      </c>
    </row>
    <row r="10" spans="1:21" x14ac:dyDescent="0.35">
      <c r="B10" t="s">
        <v>359</v>
      </c>
      <c r="C10" t="s">
        <v>314</v>
      </c>
      <c r="D10" t="s">
        <v>124</v>
      </c>
      <c r="E10" t="s">
        <v>124</v>
      </c>
      <c r="U10" t="s">
        <v>360</v>
      </c>
    </row>
    <row r="11" spans="1:21" x14ac:dyDescent="0.35">
      <c r="B11" t="s">
        <v>362</v>
      </c>
      <c r="C11" t="s">
        <v>363</v>
      </c>
      <c r="D11" t="s">
        <v>340</v>
      </c>
      <c r="E11" t="s">
        <v>124</v>
      </c>
      <c r="F11" t="s">
        <v>364</v>
      </c>
      <c r="U11" s="4" t="s">
        <v>365</v>
      </c>
    </row>
    <row r="12" spans="1:21" x14ac:dyDescent="0.35">
      <c r="B12" t="s">
        <v>366</v>
      </c>
      <c r="C12" t="s">
        <v>314</v>
      </c>
      <c r="D12" t="s">
        <v>124</v>
      </c>
      <c r="E12" t="s">
        <v>124</v>
      </c>
      <c r="U12" t="s">
        <v>357</v>
      </c>
    </row>
    <row r="13" spans="1:21" x14ac:dyDescent="0.35">
      <c r="B13" t="s">
        <v>367</v>
      </c>
      <c r="C13" t="s">
        <v>314</v>
      </c>
      <c r="D13" t="s">
        <v>124</v>
      </c>
      <c r="E13" t="s">
        <v>124</v>
      </c>
      <c r="U13" t="s">
        <v>368</v>
      </c>
    </row>
    <row r="14" spans="1:21" x14ac:dyDescent="0.35">
      <c r="B14" t="s">
        <v>369</v>
      </c>
      <c r="C14" t="s">
        <v>314</v>
      </c>
      <c r="D14" t="s">
        <v>124</v>
      </c>
      <c r="E14" t="s">
        <v>124</v>
      </c>
    </row>
    <row r="15" spans="1:21" x14ac:dyDescent="0.35">
      <c r="B15" t="s">
        <v>370</v>
      </c>
      <c r="C15" t="s">
        <v>314</v>
      </c>
      <c r="D15" t="s">
        <v>124</v>
      </c>
      <c r="E15" t="s">
        <v>124</v>
      </c>
      <c r="U15" s="4" t="s">
        <v>371</v>
      </c>
    </row>
    <row r="16" spans="1:21" x14ac:dyDescent="0.35">
      <c r="B16" t="s">
        <v>372</v>
      </c>
      <c r="C16" t="s">
        <v>349</v>
      </c>
      <c r="D16" t="s">
        <v>340</v>
      </c>
      <c r="E16" t="s">
        <v>124</v>
      </c>
      <c r="F16" t="s">
        <v>373</v>
      </c>
      <c r="U16" t="s">
        <v>373</v>
      </c>
    </row>
    <row r="17" spans="1:21" x14ac:dyDescent="0.35">
      <c r="B17" s="49" t="s">
        <v>361</v>
      </c>
      <c r="C17" t="s">
        <v>314</v>
      </c>
      <c r="D17" t="s">
        <v>124</v>
      </c>
      <c r="E17" t="s">
        <v>124</v>
      </c>
    </row>
    <row r="18" spans="1:21" x14ac:dyDescent="0.35">
      <c r="A18" t="s">
        <v>374</v>
      </c>
      <c r="B18" t="s">
        <v>375</v>
      </c>
      <c r="U18" t="s">
        <v>376</v>
      </c>
    </row>
    <row r="19" spans="1:21" x14ac:dyDescent="0.35">
      <c r="B19" t="s">
        <v>377</v>
      </c>
      <c r="C19" t="s">
        <v>378</v>
      </c>
      <c r="D19" t="s">
        <v>340</v>
      </c>
      <c r="E19" t="s">
        <v>124</v>
      </c>
      <c r="F19" t="s">
        <v>379</v>
      </c>
      <c r="U19" t="s">
        <v>380</v>
      </c>
    </row>
    <row r="20" spans="1:21" x14ac:dyDescent="0.35">
      <c r="B20" t="s">
        <v>381</v>
      </c>
      <c r="C20" t="s">
        <v>314</v>
      </c>
      <c r="D20" t="s">
        <v>124</v>
      </c>
      <c r="E20" t="s">
        <v>124</v>
      </c>
    </row>
    <row r="21" spans="1:21" x14ac:dyDescent="0.35">
      <c r="B21" t="s">
        <v>382</v>
      </c>
      <c r="C21" t="s">
        <v>314</v>
      </c>
      <c r="D21" t="s">
        <v>340</v>
      </c>
      <c r="E21" t="s">
        <v>124</v>
      </c>
      <c r="F21" t="s">
        <v>383</v>
      </c>
    </row>
    <row r="22" spans="1:21" x14ac:dyDescent="0.35">
      <c r="B22" s="49" t="s">
        <v>384</v>
      </c>
      <c r="C22" t="s">
        <v>163</v>
      </c>
      <c r="F22" t="s">
        <v>385</v>
      </c>
      <c r="U22" s="4" t="s">
        <v>386</v>
      </c>
    </row>
    <row r="23" spans="1:21" x14ac:dyDescent="0.35">
      <c r="B23" t="s">
        <v>387</v>
      </c>
      <c r="C23" t="s">
        <v>314</v>
      </c>
      <c r="D23" t="s">
        <v>124</v>
      </c>
      <c r="E23" t="s">
        <v>124</v>
      </c>
      <c r="U23" t="s">
        <v>364</v>
      </c>
    </row>
    <row r="24" spans="1:21" x14ac:dyDescent="0.35">
      <c r="B24" t="s">
        <v>388</v>
      </c>
      <c r="C24" t="s">
        <v>314</v>
      </c>
      <c r="D24" t="s">
        <v>124</v>
      </c>
      <c r="E24" t="s">
        <v>124</v>
      </c>
      <c r="U24" t="s">
        <v>389</v>
      </c>
    </row>
    <row r="25" spans="1:21" x14ac:dyDescent="0.35">
      <c r="B25" t="s">
        <v>390</v>
      </c>
      <c r="C25" t="s">
        <v>314</v>
      </c>
      <c r="D25" t="s">
        <v>124</v>
      </c>
      <c r="E25" t="s">
        <v>33</v>
      </c>
      <c r="U25" t="s">
        <v>391</v>
      </c>
    </row>
    <row r="26" spans="1:21" x14ac:dyDescent="0.35">
      <c r="A26" s="8" t="s">
        <v>392</v>
      </c>
      <c r="F26" s="14" t="s">
        <v>393</v>
      </c>
      <c r="U26" t="s">
        <v>394</v>
      </c>
    </row>
    <row r="27" spans="1:21" x14ac:dyDescent="0.35">
      <c r="U27" t="s">
        <v>395</v>
      </c>
    </row>
    <row r="29" spans="1:21" x14ac:dyDescent="0.35">
      <c r="U29" s="4" t="s">
        <v>378</v>
      </c>
    </row>
    <row r="30" spans="1:21" x14ac:dyDescent="0.35">
      <c r="U30" t="s">
        <v>379</v>
      </c>
    </row>
    <row r="31" spans="1:21" x14ac:dyDescent="0.35">
      <c r="U31" t="s">
        <v>396</v>
      </c>
    </row>
    <row r="32" spans="1:21" x14ac:dyDescent="0.35">
      <c r="U32" t="s">
        <v>397</v>
      </c>
    </row>
    <row r="33" spans="2:21" x14ac:dyDescent="0.35">
      <c r="U33" t="s">
        <v>398</v>
      </c>
    </row>
    <row r="34" spans="2:21" x14ac:dyDescent="0.35">
      <c r="U34" t="s">
        <v>399</v>
      </c>
    </row>
    <row r="35" spans="2:21" x14ac:dyDescent="0.35">
      <c r="U35" t="s">
        <v>400</v>
      </c>
    </row>
    <row r="45" spans="2:21" ht="188.5" x14ac:dyDescent="0.35">
      <c r="B45" s="40" t="s">
        <v>401</v>
      </c>
    </row>
  </sheetData>
  <dataValidations count="6">
    <dataValidation type="list" allowBlank="1" showInputMessage="1" showErrorMessage="1" sqref="F6" xr:uid="{00000000-0002-0000-0500-000000000000}">
      <formula1>$U$4:$U$5</formula1>
    </dataValidation>
    <dataValidation type="list" allowBlank="1" showInputMessage="1" showErrorMessage="1" sqref="F8" xr:uid="{00000000-0002-0000-0500-000002000000}">
      <formula1>$U$12:$U$13</formula1>
    </dataValidation>
    <dataValidation type="list" allowBlank="1" showInputMessage="1" showErrorMessage="1" sqref="F11" xr:uid="{00000000-0002-0000-0500-000004000000}">
      <formula1>$U$23:$U$27</formula1>
    </dataValidation>
    <dataValidation type="list" allowBlank="1" showInputMessage="1" showErrorMessage="1" sqref="F19" xr:uid="{00000000-0002-0000-0500-000005000000}">
      <formula1>$U$30:$U$35</formula1>
    </dataValidation>
    <dataValidation type="list" allowBlank="1" showInputMessage="1" showErrorMessage="1" sqref="F7" xr:uid="{00000000-0002-0000-0500-000001000000}">
      <formula1>$U$9:$U$10</formula1>
    </dataValidation>
    <dataValidation type="list" allowBlank="1" showInputMessage="1" showErrorMessage="1" sqref="F16" xr:uid="{00000000-0002-0000-0500-000003000000}">
      <formula1>$U$16:$U$19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P29"/>
  <sheetViews>
    <sheetView zoomScale="85" zoomScaleNormal="85" workbookViewId="0">
      <selection activeCell="B7" sqref="B7"/>
    </sheetView>
  </sheetViews>
  <sheetFormatPr defaultRowHeight="14.5" x14ac:dyDescent="0.35"/>
  <cols>
    <col min="13" max="14" width="8.7265625" style="50"/>
  </cols>
  <sheetData>
    <row r="2" spans="2:16" x14ac:dyDescent="0.35">
      <c r="B2" s="37" t="s">
        <v>8</v>
      </c>
      <c r="C2" s="37" t="s">
        <v>215</v>
      </c>
      <c r="D2" s="37" t="s">
        <v>216</v>
      </c>
      <c r="E2" s="37" t="s">
        <v>217</v>
      </c>
      <c r="F2" s="37" t="s">
        <v>218</v>
      </c>
      <c r="G2" s="37" t="s">
        <v>219</v>
      </c>
      <c r="P2" s="4" t="s">
        <v>625</v>
      </c>
    </row>
    <row r="3" spans="2:16" x14ac:dyDescent="0.35">
      <c r="B3" t="s">
        <v>402</v>
      </c>
      <c r="C3" t="s">
        <v>239</v>
      </c>
      <c r="D3" t="s">
        <v>19</v>
      </c>
      <c r="E3" t="s">
        <v>19</v>
      </c>
      <c r="F3" t="s">
        <v>403</v>
      </c>
      <c r="G3" s="38"/>
      <c r="P3" t="s">
        <v>626</v>
      </c>
    </row>
    <row r="4" spans="2:16" x14ac:dyDescent="0.35">
      <c r="B4" t="s">
        <v>404</v>
      </c>
      <c r="C4" t="s">
        <v>625</v>
      </c>
      <c r="D4" t="s">
        <v>123</v>
      </c>
      <c r="E4" t="s">
        <v>19</v>
      </c>
      <c r="F4" t="s">
        <v>626</v>
      </c>
      <c r="G4" s="38"/>
      <c r="P4" t="s">
        <v>627</v>
      </c>
    </row>
    <row r="5" spans="2:16" x14ac:dyDescent="0.35">
      <c r="B5" t="s">
        <v>405</v>
      </c>
      <c r="C5" t="s">
        <v>406</v>
      </c>
      <c r="D5" t="s">
        <v>19</v>
      </c>
      <c r="E5" t="s">
        <v>407</v>
      </c>
      <c r="F5" t="s">
        <v>408</v>
      </c>
      <c r="G5" s="38"/>
      <c r="P5" t="s">
        <v>598</v>
      </c>
    </row>
    <row r="6" spans="2:16" x14ac:dyDescent="0.35">
      <c r="B6" t="s">
        <v>409</v>
      </c>
      <c r="C6" t="s">
        <v>410</v>
      </c>
      <c r="D6" t="s">
        <v>19</v>
      </c>
      <c r="E6" t="s">
        <v>411</v>
      </c>
      <c r="F6" t="s">
        <v>412</v>
      </c>
      <c r="G6" s="38"/>
      <c r="P6" t="s">
        <v>628</v>
      </c>
    </row>
    <row r="7" spans="2:16" x14ac:dyDescent="0.35">
      <c r="B7" t="s">
        <v>413</v>
      </c>
      <c r="C7" t="s">
        <v>414</v>
      </c>
      <c r="D7" t="s">
        <v>19</v>
      </c>
      <c r="E7" t="s">
        <v>415</v>
      </c>
      <c r="F7" t="s">
        <v>416</v>
      </c>
      <c r="G7" s="38"/>
      <c r="P7" t="s">
        <v>629</v>
      </c>
    </row>
    <row r="8" spans="2:16" x14ac:dyDescent="0.35">
      <c r="B8" t="s">
        <v>417</v>
      </c>
      <c r="C8" t="s">
        <v>414</v>
      </c>
      <c r="D8" t="s">
        <v>19</v>
      </c>
      <c r="E8" t="s">
        <v>411</v>
      </c>
      <c r="F8" t="s">
        <v>418</v>
      </c>
      <c r="G8" s="38"/>
      <c r="P8" t="s">
        <v>152</v>
      </c>
    </row>
    <row r="9" spans="2:16" x14ac:dyDescent="0.35">
      <c r="B9" t="s">
        <v>419</v>
      </c>
      <c r="C9" t="s">
        <v>414</v>
      </c>
      <c r="D9" t="s">
        <v>19</v>
      </c>
      <c r="E9" t="s">
        <v>411</v>
      </c>
      <c r="F9" t="s">
        <v>333</v>
      </c>
      <c r="G9" s="38"/>
      <c r="P9" t="s">
        <v>539</v>
      </c>
    </row>
    <row r="10" spans="2:16" x14ac:dyDescent="0.35">
      <c r="B10" t="s">
        <v>420</v>
      </c>
      <c r="C10" t="s">
        <v>421</v>
      </c>
      <c r="D10" t="s">
        <v>19</v>
      </c>
      <c r="E10" t="s">
        <v>422</v>
      </c>
      <c r="F10" t="s">
        <v>423</v>
      </c>
      <c r="G10" s="38"/>
    </row>
    <row r="11" spans="2:16" x14ac:dyDescent="0.35">
      <c r="B11" t="s">
        <v>424</v>
      </c>
      <c r="C11" t="s">
        <v>421</v>
      </c>
      <c r="D11" t="s">
        <v>19</v>
      </c>
      <c r="E11" t="s">
        <v>422</v>
      </c>
      <c r="F11" t="s">
        <v>423</v>
      </c>
      <c r="G11" s="38"/>
    </row>
    <row r="12" spans="2:16" x14ac:dyDescent="0.35">
      <c r="B12" t="s">
        <v>425</v>
      </c>
      <c r="C12" t="s">
        <v>426</v>
      </c>
      <c r="D12" t="s">
        <v>19</v>
      </c>
      <c r="E12" t="s">
        <v>427</v>
      </c>
      <c r="F12" t="s">
        <v>333</v>
      </c>
      <c r="G12" s="38"/>
    </row>
    <row r="13" spans="2:16" x14ac:dyDescent="0.35">
      <c r="B13" t="s">
        <v>428</v>
      </c>
      <c r="C13" t="s">
        <v>429</v>
      </c>
      <c r="D13" t="s">
        <v>19</v>
      </c>
      <c r="E13" t="s">
        <v>427</v>
      </c>
      <c r="F13" t="s">
        <v>333</v>
      </c>
      <c r="G13" s="38"/>
    </row>
    <row r="14" spans="2:16" x14ac:dyDescent="0.35">
      <c r="B14" t="s">
        <v>430</v>
      </c>
      <c r="C14" t="s">
        <v>431</v>
      </c>
      <c r="D14" t="s">
        <v>19</v>
      </c>
      <c r="E14" t="s">
        <v>19</v>
      </c>
      <c r="F14" t="s">
        <v>432</v>
      </c>
      <c r="G14" s="38"/>
    </row>
    <row r="15" spans="2:16" x14ac:dyDescent="0.35">
      <c r="B15" t="s">
        <v>433</v>
      </c>
      <c r="C15" t="s">
        <v>434</v>
      </c>
      <c r="D15" t="s">
        <v>19</v>
      </c>
      <c r="E15" t="s">
        <v>19</v>
      </c>
      <c r="F15" t="s">
        <v>435</v>
      </c>
      <c r="G15" s="38"/>
    </row>
    <row r="16" spans="2:16" x14ac:dyDescent="0.35">
      <c r="B16" t="s">
        <v>436</v>
      </c>
      <c r="C16" t="s">
        <v>239</v>
      </c>
      <c r="D16" t="s">
        <v>19</v>
      </c>
      <c r="E16" t="s">
        <v>437</v>
      </c>
      <c r="F16" t="s">
        <v>438</v>
      </c>
      <c r="G16" s="38"/>
    </row>
    <row r="17" spans="2:7" x14ac:dyDescent="0.35">
      <c r="B17" t="s">
        <v>439</v>
      </c>
      <c r="C17" t="s">
        <v>440</v>
      </c>
      <c r="D17" t="s">
        <v>33</v>
      </c>
      <c r="E17" t="s">
        <v>333</v>
      </c>
      <c r="F17" t="s">
        <v>441</v>
      </c>
      <c r="G17" s="38"/>
    </row>
    <row r="18" spans="2:7" x14ac:dyDescent="0.35">
      <c r="B18" t="s">
        <v>442</v>
      </c>
      <c r="C18" t="s">
        <v>440</v>
      </c>
      <c r="D18" t="s">
        <v>33</v>
      </c>
      <c r="E18" t="s">
        <v>333</v>
      </c>
      <c r="F18" t="s">
        <v>443</v>
      </c>
      <c r="G18" s="38"/>
    </row>
    <row r="21" spans="2:7" x14ac:dyDescent="0.35">
      <c r="B21" s="35" t="s">
        <v>444</v>
      </c>
      <c r="C21" s="36"/>
      <c r="D21" s="36"/>
      <c r="E21" s="36"/>
      <c r="F21" s="36"/>
      <c r="G21" s="36"/>
    </row>
    <row r="23" spans="2:7" x14ac:dyDescent="0.35">
      <c r="B23" s="39"/>
    </row>
    <row r="25" spans="2:7" x14ac:dyDescent="0.35">
      <c r="B25" t="s">
        <v>445</v>
      </c>
    </row>
    <row r="26" spans="2:7" x14ac:dyDescent="0.35">
      <c r="B26" t="s">
        <v>8</v>
      </c>
      <c r="C26" t="s">
        <v>215</v>
      </c>
      <c r="D26" t="s">
        <v>216</v>
      </c>
      <c r="E26" t="s">
        <v>217</v>
      </c>
      <c r="F26" t="s">
        <v>218</v>
      </c>
    </row>
    <row r="27" spans="2:7" x14ac:dyDescent="0.35">
      <c r="B27" t="s">
        <v>446</v>
      </c>
      <c r="C27" t="s">
        <v>447</v>
      </c>
      <c r="D27" t="s">
        <v>124</v>
      </c>
      <c r="E27" t="s">
        <v>124</v>
      </c>
      <c r="F27" t="s">
        <v>448</v>
      </c>
    </row>
    <row r="29" spans="2:7" x14ac:dyDescent="0.35">
      <c r="B29" t="s">
        <v>449</v>
      </c>
    </row>
  </sheetData>
  <dataValidations count="1">
    <dataValidation type="list" allowBlank="1" showInputMessage="1" showErrorMessage="1" sqref="F4" xr:uid="{F10259F4-C737-41F4-A556-FC28E8952A0A}">
      <formula1>$P$3:$P$9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6"/>
  <sheetViews>
    <sheetView zoomScale="85" zoomScaleNormal="85" workbookViewId="0">
      <selection activeCell="B3" sqref="B3:F3"/>
    </sheetView>
  </sheetViews>
  <sheetFormatPr defaultRowHeight="14.5" x14ac:dyDescent="0.35"/>
  <cols>
    <col min="1" max="1" width="35.08984375" customWidth="1"/>
    <col min="2" max="2" width="24.54296875" customWidth="1"/>
    <col min="3" max="3" width="28.36328125" customWidth="1"/>
    <col min="4" max="4" width="11" customWidth="1"/>
    <col min="5" max="5" width="12.453125" customWidth="1"/>
    <col min="6" max="6" width="31.6328125" customWidth="1"/>
    <col min="18" max="19" width="9.08984375" style="11" customWidth="1"/>
    <col min="25" max="25" width="24" customWidth="1"/>
    <col min="26" max="26" width="14.90625" customWidth="1"/>
  </cols>
  <sheetData>
    <row r="1" spans="1:25" x14ac:dyDescent="0.35">
      <c r="U1" s="11"/>
      <c r="V1" s="11"/>
      <c r="W1" t="s">
        <v>256</v>
      </c>
    </row>
    <row r="2" spans="1:25" x14ac:dyDescent="0.35">
      <c r="B2" s="13" t="s">
        <v>8</v>
      </c>
      <c r="C2" s="13" t="s">
        <v>9</v>
      </c>
      <c r="D2" s="13" t="s">
        <v>10</v>
      </c>
      <c r="E2" s="13" t="s">
        <v>11</v>
      </c>
      <c r="F2" s="13" t="s">
        <v>12</v>
      </c>
      <c r="U2" s="11"/>
      <c r="V2" s="11"/>
    </row>
    <row r="3" spans="1:25" x14ac:dyDescent="0.35">
      <c r="A3" t="s">
        <v>257</v>
      </c>
      <c r="B3" t="s">
        <v>258</v>
      </c>
      <c r="C3" t="s">
        <v>137</v>
      </c>
      <c r="D3" t="s">
        <v>149</v>
      </c>
      <c r="E3" t="s">
        <v>124</v>
      </c>
      <c r="F3" s="19" t="s">
        <v>259</v>
      </c>
      <c r="U3" s="11"/>
      <c r="V3" s="11"/>
    </row>
    <row r="4" spans="1:25" x14ac:dyDescent="0.35">
      <c r="B4" t="s">
        <v>260</v>
      </c>
      <c r="U4" s="11"/>
      <c r="V4" s="11"/>
    </row>
    <row r="5" spans="1:25" x14ac:dyDescent="0.35">
      <c r="U5" s="11"/>
      <c r="V5" s="11"/>
    </row>
    <row r="6" spans="1:25" x14ac:dyDescent="0.35">
      <c r="A6" t="s">
        <v>630</v>
      </c>
      <c r="B6" t="s">
        <v>29</v>
      </c>
      <c r="C6" t="s">
        <v>137</v>
      </c>
      <c r="D6" t="s">
        <v>33</v>
      </c>
      <c r="E6" t="s">
        <v>34</v>
      </c>
      <c r="F6" t="s">
        <v>634</v>
      </c>
      <c r="U6" s="11"/>
      <c r="V6" s="11"/>
    </row>
    <row r="7" spans="1:25" x14ac:dyDescent="0.35">
      <c r="B7" t="s">
        <v>631</v>
      </c>
      <c r="C7" t="s">
        <v>137</v>
      </c>
      <c r="D7" t="s">
        <v>33</v>
      </c>
      <c r="E7" t="s">
        <v>34</v>
      </c>
      <c r="F7" t="s">
        <v>635</v>
      </c>
      <c r="U7" s="11"/>
      <c r="V7" s="11"/>
    </row>
    <row r="8" spans="1:25" x14ac:dyDescent="0.35">
      <c r="B8" t="s">
        <v>632</v>
      </c>
      <c r="C8" t="s">
        <v>137</v>
      </c>
      <c r="D8" t="s">
        <v>33</v>
      </c>
      <c r="E8" t="s">
        <v>34</v>
      </c>
      <c r="F8" t="s">
        <v>636</v>
      </c>
      <c r="U8" s="11"/>
      <c r="V8" s="11"/>
    </row>
    <row r="9" spans="1:25" x14ac:dyDescent="0.35">
      <c r="B9" t="s">
        <v>633</v>
      </c>
      <c r="C9" t="s">
        <v>644</v>
      </c>
      <c r="D9" t="s">
        <v>33</v>
      </c>
      <c r="E9" t="s">
        <v>124</v>
      </c>
      <c r="F9" t="s">
        <v>645</v>
      </c>
      <c r="U9" s="11"/>
      <c r="V9" s="11"/>
    </row>
    <row r="10" spans="1:25" x14ac:dyDescent="0.35">
      <c r="U10" s="11"/>
      <c r="V10" s="11"/>
    </row>
    <row r="11" spans="1:25" ht="43.25" customHeight="1" x14ac:dyDescent="0.35">
      <c r="A11" s="31" t="s">
        <v>261</v>
      </c>
      <c r="B11" t="s">
        <v>262</v>
      </c>
      <c r="C11" t="s">
        <v>263</v>
      </c>
      <c r="D11" t="s">
        <v>149</v>
      </c>
      <c r="E11" t="s">
        <v>124</v>
      </c>
      <c r="F11" s="2" t="s">
        <v>264</v>
      </c>
      <c r="U11" s="7"/>
      <c r="V11" s="7"/>
    </row>
    <row r="12" spans="1:25" x14ac:dyDescent="0.35">
      <c r="B12" t="s">
        <v>265</v>
      </c>
      <c r="U12" s="7"/>
      <c r="V12" s="7"/>
    </row>
    <row r="13" spans="1:25" x14ac:dyDescent="0.35">
      <c r="A13" t="s">
        <v>266</v>
      </c>
      <c r="B13" t="s">
        <v>267</v>
      </c>
      <c r="C13" t="s">
        <v>268</v>
      </c>
      <c r="D13" t="s">
        <v>149</v>
      </c>
      <c r="E13" t="s">
        <v>33</v>
      </c>
      <c r="F13" t="s">
        <v>269</v>
      </c>
      <c r="G13" t="s">
        <v>270</v>
      </c>
      <c r="U13" s="7"/>
      <c r="V13" s="7"/>
    </row>
    <row r="14" spans="1:25" x14ac:dyDescent="0.35">
      <c r="A14" t="s">
        <v>271</v>
      </c>
      <c r="U14" s="7"/>
      <c r="V14" s="7"/>
      <c r="X14" s="4" t="s">
        <v>64</v>
      </c>
    </row>
    <row r="15" spans="1:25" x14ac:dyDescent="0.35">
      <c r="B15" t="s">
        <v>272</v>
      </c>
      <c r="F15" s="2" t="s">
        <v>273</v>
      </c>
      <c r="G15" t="s">
        <v>274</v>
      </c>
      <c r="H15" t="e">
        <v>#VALUE!</v>
      </c>
      <c r="U15" s="7"/>
      <c r="V15" s="7"/>
      <c r="X15" s="5" t="s">
        <v>65</v>
      </c>
      <c r="Y15" s="5" t="s">
        <v>66</v>
      </c>
    </row>
    <row r="16" spans="1:25" x14ac:dyDescent="0.35">
      <c r="B16" t="s">
        <v>275</v>
      </c>
      <c r="F16" t="s">
        <v>276</v>
      </c>
      <c r="U16" s="7"/>
      <c r="V16" s="7"/>
      <c r="X16" t="s">
        <v>67</v>
      </c>
      <c r="Y16" t="s">
        <v>43</v>
      </c>
    </row>
    <row r="17" spans="1:29" x14ac:dyDescent="0.35">
      <c r="U17" s="7"/>
      <c r="V17" s="7"/>
      <c r="X17" t="s">
        <v>71</v>
      </c>
      <c r="Y17" t="s">
        <v>72</v>
      </c>
    </row>
    <row r="18" spans="1:29" x14ac:dyDescent="0.35">
      <c r="A18" t="s">
        <v>277</v>
      </c>
      <c r="B18" t="s">
        <v>278</v>
      </c>
      <c r="C18" t="s">
        <v>279</v>
      </c>
      <c r="D18" t="s">
        <v>149</v>
      </c>
      <c r="E18" t="s">
        <v>33</v>
      </c>
      <c r="F18" t="s">
        <v>280</v>
      </c>
      <c r="G18" t="s">
        <v>281</v>
      </c>
      <c r="U18" s="7"/>
      <c r="V18" s="7"/>
    </row>
    <row r="19" spans="1:29" x14ac:dyDescent="0.35">
      <c r="A19" t="s">
        <v>271</v>
      </c>
      <c r="U19" s="7"/>
      <c r="V19" s="7"/>
    </row>
    <row r="20" spans="1:29" ht="28.75" customHeight="1" x14ac:dyDescent="0.35">
      <c r="B20" t="s">
        <v>272</v>
      </c>
      <c r="F20" s="2" t="s">
        <v>282</v>
      </c>
      <c r="G20" t="s">
        <v>274</v>
      </c>
      <c r="H20" t="e">
        <v>#VALUE!</v>
      </c>
      <c r="U20" s="7"/>
      <c r="V20" s="7"/>
    </row>
    <row r="21" spans="1:29" x14ac:dyDescent="0.35">
      <c r="B21" t="s">
        <v>275</v>
      </c>
      <c r="F21" t="s">
        <v>276</v>
      </c>
      <c r="U21" s="7"/>
      <c r="V21" s="7"/>
      <c r="X21" t="s">
        <v>283</v>
      </c>
    </row>
    <row r="22" spans="1:29" x14ac:dyDescent="0.35">
      <c r="U22" s="7"/>
      <c r="V22" s="7"/>
    </row>
    <row r="23" spans="1:29" x14ac:dyDescent="0.35">
      <c r="U23" s="7"/>
      <c r="V23" s="7"/>
      <c r="X23" s="5" t="s">
        <v>284</v>
      </c>
      <c r="Y23" s="32"/>
      <c r="Z23" s="6"/>
      <c r="AA23" s="6"/>
      <c r="AB23" s="6"/>
    </row>
    <row r="24" spans="1:29" ht="28.75" customHeight="1" x14ac:dyDescent="0.35">
      <c r="U24" s="7"/>
      <c r="V24" s="7"/>
      <c r="X24" t="s">
        <v>285</v>
      </c>
      <c r="Y24" s="13" t="s">
        <v>286</v>
      </c>
      <c r="Z24" s="32" t="s">
        <v>287</v>
      </c>
      <c r="AA24" s="32" t="s">
        <v>288</v>
      </c>
      <c r="AB24" s="32" t="s">
        <v>289</v>
      </c>
      <c r="AC24" s="32" t="s">
        <v>290</v>
      </c>
    </row>
    <row r="25" spans="1:29" x14ac:dyDescent="0.35">
      <c r="U25" s="7"/>
      <c r="V25" s="7"/>
      <c r="X25">
        <v>1</v>
      </c>
      <c r="Y25" t="s">
        <v>269</v>
      </c>
      <c r="Z25" s="6">
        <v>0</v>
      </c>
      <c r="AA25" s="6">
        <v>15</v>
      </c>
      <c r="AB25" s="6" t="s">
        <v>291</v>
      </c>
      <c r="AC25">
        <v>0</v>
      </c>
    </row>
    <row r="26" spans="1:29" x14ac:dyDescent="0.35">
      <c r="U26" s="7"/>
      <c r="V26" s="7"/>
      <c r="X26">
        <v>1</v>
      </c>
      <c r="Y26" t="s">
        <v>269</v>
      </c>
      <c r="Z26" s="6">
        <v>15.000999999999999</v>
      </c>
      <c r="AA26" s="6">
        <v>17</v>
      </c>
      <c r="AB26" s="6" t="s">
        <v>292</v>
      </c>
      <c r="AC26">
        <v>50</v>
      </c>
    </row>
    <row r="27" spans="1:29" x14ac:dyDescent="0.35">
      <c r="U27" s="7"/>
      <c r="V27" s="7"/>
      <c r="X27">
        <v>1</v>
      </c>
      <c r="Y27" t="s">
        <v>269</v>
      </c>
      <c r="Z27" s="6">
        <v>17.001000000000001</v>
      </c>
      <c r="AA27" s="6">
        <v>20</v>
      </c>
      <c r="AB27" s="6" t="s">
        <v>293</v>
      </c>
      <c r="AC27">
        <v>0</v>
      </c>
    </row>
    <row r="28" spans="1:29" x14ac:dyDescent="0.35">
      <c r="U28" s="7"/>
      <c r="V28" s="7"/>
      <c r="X28">
        <v>1</v>
      </c>
      <c r="Y28" t="s">
        <v>269</v>
      </c>
      <c r="Z28" s="6">
        <v>20.001000000000001</v>
      </c>
      <c r="AA28" s="6">
        <v>25</v>
      </c>
      <c r="AB28" s="6" t="s">
        <v>293</v>
      </c>
      <c r="AC28">
        <v>0</v>
      </c>
    </row>
    <row r="29" spans="1:29" x14ac:dyDescent="0.35">
      <c r="U29" s="7"/>
      <c r="V29" s="7"/>
      <c r="Y29" t="s">
        <v>269</v>
      </c>
      <c r="Z29" s="6">
        <v>25.001000000000001</v>
      </c>
      <c r="AA29" s="6">
        <v>27</v>
      </c>
      <c r="AB29" s="6" t="s">
        <v>293</v>
      </c>
      <c r="AC29">
        <v>0</v>
      </c>
    </row>
    <row r="30" spans="1:29" x14ac:dyDescent="0.35">
      <c r="U30" s="7"/>
      <c r="V30" s="7"/>
      <c r="Y30" t="s">
        <v>269</v>
      </c>
      <c r="Z30" s="6">
        <v>27.001000000000001</v>
      </c>
      <c r="AA30" s="6">
        <v>32</v>
      </c>
      <c r="AB30" s="6" t="s">
        <v>293</v>
      </c>
      <c r="AC30">
        <v>0</v>
      </c>
    </row>
    <row r="31" spans="1:29" x14ac:dyDescent="0.35">
      <c r="U31" s="7"/>
      <c r="V31" s="7"/>
      <c r="Y31" t="s">
        <v>269</v>
      </c>
      <c r="Z31" s="6">
        <v>32.000999999999998</v>
      </c>
      <c r="AA31" s="6">
        <v>36</v>
      </c>
      <c r="AB31" s="6" t="s">
        <v>292</v>
      </c>
      <c r="AC31">
        <v>25</v>
      </c>
    </row>
    <row r="32" spans="1:29" x14ac:dyDescent="0.35">
      <c r="U32" s="7"/>
      <c r="V32" s="7"/>
      <c r="Y32" t="s">
        <v>269</v>
      </c>
      <c r="Z32" s="6">
        <v>36.000999999999998</v>
      </c>
      <c r="AA32" s="6">
        <v>40</v>
      </c>
      <c r="AB32" s="6" t="s">
        <v>292</v>
      </c>
      <c r="AC32">
        <v>50</v>
      </c>
    </row>
    <row r="33" spans="1:29" x14ac:dyDescent="0.35">
      <c r="U33" s="7"/>
      <c r="V33" s="7"/>
      <c r="Y33" t="s">
        <v>269</v>
      </c>
      <c r="Z33" s="6">
        <v>40.000999999999998</v>
      </c>
      <c r="AA33" s="6">
        <v>100</v>
      </c>
      <c r="AB33" s="6" t="s">
        <v>291</v>
      </c>
      <c r="AC33">
        <v>0</v>
      </c>
    </row>
    <row r="34" spans="1:29" x14ac:dyDescent="0.35">
      <c r="A34" t="s">
        <v>271</v>
      </c>
      <c r="U34" s="7"/>
      <c r="V34" s="7"/>
    </row>
    <row r="35" spans="1:29" x14ac:dyDescent="0.35">
      <c r="B35" t="s">
        <v>272</v>
      </c>
      <c r="F35" s="2" t="s">
        <v>294</v>
      </c>
      <c r="U35" s="7"/>
      <c r="V35" s="7"/>
    </row>
    <row r="36" spans="1:29" x14ac:dyDescent="0.35">
      <c r="B36" t="s">
        <v>275</v>
      </c>
      <c r="F36" t="s">
        <v>276</v>
      </c>
      <c r="U36" s="7"/>
      <c r="V36" s="7"/>
      <c r="X36" s="5" t="s">
        <v>295</v>
      </c>
    </row>
    <row r="37" spans="1:29" ht="27.65" customHeight="1" x14ac:dyDescent="0.35">
      <c r="F37" s="2"/>
      <c r="U37" s="7"/>
      <c r="V37" s="7"/>
      <c r="X37" s="34" t="s">
        <v>296</v>
      </c>
      <c r="Y37" s="34" t="s">
        <v>297</v>
      </c>
      <c r="Z37" s="34" t="s">
        <v>298</v>
      </c>
    </row>
    <row r="38" spans="1:29" ht="28.75" customHeight="1" x14ac:dyDescent="0.35">
      <c r="U38" s="7"/>
      <c r="V38" s="7"/>
      <c r="X38" s="33">
        <v>1</v>
      </c>
      <c r="Y38" s="33" t="s">
        <v>299</v>
      </c>
      <c r="Z38" s="33" t="s">
        <v>300</v>
      </c>
    </row>
    <row r="39" spans="1:29" ht="28.75" customHeight="1" x14ac:dyDescent="0.35">
      <c r="U39" s="7"/>
      <c r="V39" s="7"/>
      <c r="X39" s="33">
        <v>2</v>
      </c>
      <c r="Y39" s="33" t="s">
        <v>301</v>
      </c>
      <c r="Z39" s="33" t="s">
        <v>300</v>
      </c>
    </row>
    <row r="40" spans="1:29" x14ac:dyDescent="0.35">
      <c r="U40" s="7"/>
      <c r="V40" s="7"/>
      <c r="X40" s="33">
        <v>3</v>
      </c>
      <c r="Y40" s="33" t="s">
        <v>280</v>
      </c>
      <c r="Z40" s="33" t="s">
        <v>300</v>
      </c>
    </row>
    <row r="41" spans="1:29" ht="28.75" customHeight="1" x14ac:dyDescent="0.35">
      <c r="U41" s="7"/>
      <c r="V41" s="7"/>
      <c r="X41" s="33">
        <v>4</v>
      </c>
      <c r="Y41" s="33" t="s">
        <v>302</v>
      </c>
      <c r="Z41" s="33" t="s">
        <v>300</v>
      </c>
    </row>
    <row r="42" spans="1:29" ht="28.75" customHeight="1" x14ac:dyDescent="0.35">
      <c r="U42" s="7"/>
      <c r="V42" s="7"/>
      <c r="X42" s="33">
        <v>5</v>
      </c>
      <c r="Y42" s="33" t="s">
        <v>303</v>
      </c>
      <c r="Z42" s="33" t="s">
        <v>300</v>
      </c>
    </row>
    <row r="43" spans="1:29" x14ac:dyDescent="0.35">
      <c r="U43" s="7"/>
      <c r="V43" s="7"/>
      <c r="X43" s="33">
        <v>6</v>
      </c>
      <c r="Y43" s="33" t="s">
        <v>304</v>
      </c>
      <c r="Z43" s="33" t="s">
        <v>300</v>
      </c>
    </row>
    <row r="44" spans="1:29" x14ac:dyDescent="0.35">
      <c r="U44" s="7"/>
      <c r="V44" s="7"/>
      <c r="X44" s="33">
        <v>7</v>
      </c>
      <c r="Y44" s="33" t="s">
        <v>305</v>
      </c>
      <c r="Z44" s="33" t="s">
        <v>300</v>
      </c>
    </row>
    <row r="45" spans="1:29" ht="28.75" customHeight="1" x14ac:dyDescent="0.35">
      <c r="U45" s="7"/>
      <c r="V45" s="7"/>
      <c r="X45" s="33">
        <v>8</v>
      </c>
      <c r="Y45" s="33" t="s">
        <v>306</v>
      </c>
      <c r="Z45" s="33" t="s">
        <v>307</v>
      </c>
    </row>
    <row r="46" spans="1:29" ht="28.75" customHeight="1" x14ac:dyDescent="0.35">
      <c r="U46" s="7"/>
      <c r="V46" s="7"/>
      <c r="X46" s="33">
        <v>9</v>
      </c>
      <c r="Y46" s="33" t="s">
        <v>308</v>
      </c>
      <c r="Z46" s="33" t="s">
        <v>307</v>
      </c>
    </row>
    <row r="47" spans="1:29" ht="28.5" customHeight="1" x14ac:dyDescent="0.35">
      <c r="U47" s="7"/>
      <c r="V47" s="7"/>
      <c r="X47" s="33">
        <v>10</v>
      </c>
      <c r="Y47" s="33" t="s">
        <v>309</v>
      </c>
      <c r="Z47" s="33" t="s">
        <v>307</v>
      </c>
    </row>
    <row r="49" spans="2:26" x14ac:dyDescent="0.35">
      <c r="X49" s="4" t="s">
        <v>637</v>
      </c>
    </row>
    <row r="50" spans="2:26" x14ac:dyDescent="0.35">
      <c r="X50" s="5" t="s">
        <v>25</v>
      </c>
      <c r="Y50" s="33" t="s">
        <v>638</v>
      </c>
      <c r="Z50" s="33"/>
    </row>
    <row r="51" spans="2:26" x14ac:dyDescent="0.35">
      <c r="B51" s="40"/>
      <c r="X51" t="s">
        <v>22</v>
      </c>
      <c r="Y51" s="51" t="s">
        <v>22</v>
      </c>
      <c r="Z51" s="51"/>
    </row>
    <row r="52" spans="2:26" x14ac:dyDescent="0.35">
      <c r="B52" s="40"/>
      <c r="X52" t="s">
        <v>643</v>
      </c>
      <c r="Y52" s="51" t="s">
        <v>643</v>
      </c>
      <c r="Z52" s="51"/>
    </row>
    <row r="53" spans="2:26" x14ac:dyDescent="0.35">
      <c r="X53" t="s">
        <v>20</v>
      </c>
      <c r="Y53" t="s">
        <v>639</v>
      </c>
    </row>
    <row r="54" spans="2:26" x14ac:dyDescent="0.35">
      <c r="X54" t="s">
        <v>20</v>
      </c>
      <c r="Y54" t="s">
        <v>640</v>
      </c>
    </row>
    <row r="55" spans="2:26" x14ac:dyDescent="0.35">
      <c r="X55" t="s">
        <v>20</v>
      </c>
      <c r="Y55" t="s">
        <v>641</v>
      </c>
    </row>
    <row r="56" spans="2:26" x14ac:dyDescent="0.35">
      <c r="X56" t="s">
        <v>20</v>
      </c>
      <c r="Y56" t="s">
        <v>642</v>
      </c>
    </row>
  </sheetData>
  <dataValidations count="3">
    <dataValidation type="list" allowBlank="1" showInputMessage="1" showErrorMessage="1" sqref="Y11" xr:uid="{00000000-0002-0000-0300-000000000000}">
      <formula1>$AF$3:$AF$11</formula1>
    </dataValidation>
    <dataValidation type="list" allowBlank="1" showInputMessage="1" showErrorMessage="1" sqref="F13" xr:uid="{00000000-0002-0000-0300-000001000000}">
      <formula1>$Y$25</formula1>
    </dataValidation>
    <dataValidation type="list" allowBlank="1" showInputMessage="1" showErrorMessage="1" sqref="F18" xr:uid="{00000000-0002-0000-0300-000002000000}">
      <formula1>$Y$38:$Y$47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U41"/>
  <sheetViews>
    <sheetView zoomScale="85" zoomScaleNormal="85" workbookViewId="0">
      <selection activeCell="F26" sqref="F26"/>
    </sheetView>
  </sheetViews>
  <sheetFormatPr defaultRowHeight="14.5" x14ac:dyDescent="0.35"/>
  <cols>
    <col min="1" max="1" width="23.36328125" customWidth="1"/>
    <col min="2" max="2" width="40.36328125" customWidth="1"/>
    <col min="3" max="3" width="14" customWidth="1"/>
    <col min="5" max="5" width="21.81640625" customWidth="1"/>
    <col min="6" max="6" width="27.08984375" customWidth="1"/>
    <col min="18" max="19" width="9.08984375" style="11" customWidth="1"/>
  </cols>
  <sheetData>
    <row r="2" spans="1:21" x14ac:dyDescent="0.35">
      <c r="U2" s="4" t="s">
        <v>321</v>
      </c>
    </row>
    <row r="3" spans="1:21" x14ac:dyDescent="0.35">
      <c r="B3" s="13" t="s">
        <v>8</v>
      </c>
      <c r="C3" s="13" t="s">
        <v>9</v>
      </c>
      <c r="D3" s="13" t="s">
        <v>10</v>
      </c>
      <c r="E3" s="13" t="s">
        <v>11</v>
      </c>
      <c r="F3" s="13" t="s">
        <v>12</v>
      </c>
      <c r="U3" t="s">
        <v>323</v>
      </c>
    </row>
    <row r="4" spans="1:21" x14ac:dyDescent="0.35">
      <c r="A4" t="s">
        <v>310</v>
      </c>
      <c r="B4" t="s">
        <v>311</v>
      </c>
      <c r="C4" t="s">
        <v>163</v>
      </c>
      <c r="D4" t="s">
        <v>38</v>
      </c>
      <c r="E4" t="s">
        <v>124</v>
      </c>
      <c r="F4" s="52" t="s">
        <v>312</v>
      </c>
      <c r="U4" t="s">
        <v>325</v>
      </c>
    </row>
    <row r="5" spans="1:21" x14ac:dyDescent="0.35">
      <c r="B5" t="s">
        <v>315</v>
      </c>
      <c r="C5" t="s">
        <v>163</v>
      </c>
      <c r="D5" t="s">
        <v>38</v>
      </c>
      <c r="E5" t="s">
        <v>124</v>
      </c>
      <c r="U5" t="s">
        <v>327</v>
      </c>
    </row>
    <row r="6" spans="1:21" x14ac:dyDescent="0.35">
      <c r="B6" s="8" t="s">
        <v>316</v>
      </c>
      <c r="C6" t="s">
        <v>314</v>
      </c>
      <c r="D6" t="s">
        <v>124</v>
      </c>
      <c r="E6" t="s">
        <v>124</v>
      </c>
    </row>
    <row r="7" spans="1:21" x14ac:dyDescent="0.35">
      <c r="B7" s="8" t="s">
        <v>317</v>
      </c>
      <c r="C7" t="s">
        <v>314</v>
      </c>
      <c r="D7" t="s">
        <v>124</v>
      </c>
      <c r="E7" t="s">
        <v>124</v>
      </c>
    </row>
    <row r="8" spans="1:21" x14ac:dyDescent="0.35">
      <c r="B8" t="s">
        <v>318</v>
      </c>
      <c r="C8" t="s">
        <v>314</v>
      </c>
      <c r="D8" t="s">
        <v>124</v>
      </c>
      <c r="E8" t="s">
        <v>124</v>
      </c>
      <c r="U8" s="4" t="s">
        <v>651</v>
      </c>
    </row>
    <row r="9" spans="1:21" x14ac:dyDescent="0.35">
      <c r="B9" t="s">
        <v>646</v>
      </c>
      <c r="C9" t="s">
        <v>314</v>
      </c>
      <c r="D9" t="s">
        <v>124</v>
      </c>
      <c r="E9" t="s">
        <v>124</v>
      </c>
      <c r="U9" t="s">
        <v>653</v>
      </c>
    </row>
    <row r="10" spans="1:21" x14ac:dyDescent="0.35">
      <c r="B10" t="s">
        <v>313</v>
      </c>
      <c r="C10" t="s">
        <v>314</v>
      </c>
      <c r="D10" t="s">
        <v>124</v>
      </c>
      <c r="E10" t="s">
        <v>124</v>
      </c>
      <c r="U10" t="s">
        <v>654</v>
      </c>
    </row>
    <row r="11" spans="1:21" x14ac:dyDescent="0.35">
      <c r="B11" t="s">
        <v>319</v>
      </c>
      <c r="C11" t="s">
        <v>163</v>
      </c>
      <c r="D11" t="s">
        <v>38</v>
      </c>
      <c r="E11" t="s">
        <v>124</v>
      </c>
      <c r="U11" t="s">
        <v>655</v>
      </c>
    </row>
    <row r="12" spans="1:21" x14ac:dyDescent="0.35">
      <c r="B12" t="s">
        <v>320</v>
      </c>
      <c r="C12" t="s">
        <v>314</v>
      </c>
      <c r="D12" t="s">
        <v>124</v>
      </c>
      <c r="E12" t="s">
        <v>124</v>
      </c>
      <c r="U12" t="s">
        <v>656</v>
      </c>
    </row>
    <row r="13" spans="1:21" x14ac:dyDescent="0.35">
      <c r="B13" t="s">
        <v>322</v>
      </c>
      <c r="C13" t="s">
        <v>314</v>
      </c>
      <c r="D13" t="s">
        <v>124</v>
      </c>
      <c r="E13" t="s">
        <v>124</v>
      </c>
      <c r="U13" t="s">
        <v>657</v>
      </c>
    </row>
    <row r="14" spans="1:21" x14ac:dyDescent="0.35">
      <c r="B14" t="s">
        <v>324</v>
      </c>
      <c r="C14" t="s">
        <v>239</v>
      </c>
      <c r="D14" t="s">
        <v>38</v>
      </c>
      <c r="E14" t="s">
        <v>124</v>
      </c>
      <c r="F14" t="s">
        <v>323</v>
      </c>
      <c r="U14" t="s">
        <v>658</v>
      </c>
    </row>
    <row r="15" spans="1:21" x14ac:dyDescent="0.35">
      <c r="A15" s="14" t="s">
        <v>326</v>
      </c>
    </row>
    <row r="16" spans="1:21" x14ac:dyDescent="0.35">
      <c r="B16" t="s">
        <v>647</v>
      </c>
      <c r="C16" t="s">
        <v>137</v>
      </c>
      <c r="D16" t="s">
        <v>149</v>
      </c>
      <c r="E16" t="s">
        <v>124</v>
      </c>
      <c r="F16" s="19" t="s">
        <v>648</v>
      </c>
    </row>
    <row r="17" spans="1:21" x14ac:dyDescent="0.35">
      <c r="B17" t="s">
        <v>649</v>
      </c>
      <c r="C17" t="s">
        <v>651</v>
      </c>
      <c r="D17" t="s">
        <v>38</v>
      </c>
      <c r="E17" t="s">
        <v>124</v>
      </c>
      <c r="F17" s="49" t="s">
        <v>653</v>
      </c>
      <c r="U17" s="4" t="s">
        <v>652</v>
      </c>
    </row>
    <row r="18" spans="1:21" x14ac:dyDescent="0.35">
      <c r="B18" t="s">
        <v>650</v>
      </c>
      <c r="C18" t="s">
        <v>652</v>
      </c>
      <c r="F18" s="49" t="s">
        <v>659</v>
      </c>
      <c r="U18" t="s">
        <v>659</v>
      </c>
    </row>
    <row r="19" spans="1:21" x14ac:dyDescent="0.35">
      <c r="B19" t="s">
        <v>175</v>
      </c>
      <c r="C19" t="s">
        <v>176</v>
      </c>
      <c r="D19" t="s">
        <v>124</v>
      </c>
      <c r="E19" t="s">
        <v>124</v>
      </c>
      <c r="F19" s="49" t="s">
        <v>669</v>
      </c>
      <c r="U19" t="s">
        <v>662</v>
      </c>
    </row>
    <row r="20" spans="1:21" x14ac:dyDescent="0.35">
      <c r="U20" t="s">
        <v>660</v>
      </c>
    </row>
    <row r="21" spans="1:21" x14ac:dyDescent="0.35">
      <c r="A21" t="s">
        <v>663</v>
      </c>
      <c r="U21" t="s">
        <v>661</v>
      </c>
    </row>
    <row r="22" spans="1:21" x14ac:dyDescent="0.35">
      <c r="B22" t="s">
        <v>664</v>
      </c>
      <c r="C22" t="s">
        <v>137</v>
      </c>
      <c r="D22" t="s">
        <v>33</v>
      </c>
      <c r="E22" t="s">
        <v>34</v>
      </c>
      <c r="F22" t="s">
        <v>668</v>
      </c>
    </row>
    <row r="23" spans="1:21" x14ac:dyDescent="0.35">
      <c r="B23" t="s">
        <v>665</v>
      </c>
      <c r="C23" t="s">
        <v>137</v>
      </c>
      <c r="D23" t="s">
        <v>33</v>
      </c>
      <c r="E23" t="s">
        <v>34</v>
      </c>
      <c r="F23" t="s">
        <v>670</v>
      </c>
    </row>
    <row r="24" spans="1:21" x14ac:dyDescent="0.35">
      <c r="B24" t="s">
        <v>666</v>
      </c>
      <c r="C24" t="s">
        <v>137</v>
      </c>
      <c r="D24" t="s">
        <v>33</v>
      </c>
      <c r="E24" t="s">
        <v>34</v>
      </c>
      <c r="F24" s="49"/>
    </row>
    <row r="25" spans="1:21" x14ac:dyDescent="0.35">
      <c r="B25" t="s">
        <v>667</v>
      </c>
      <c r="C25" t="s">
        <v>137</v>
      </c>
      <c r="D25" t="s">
        <v>33</v>
      </c>
      <c r="E25" t="s">
        <v>34</v>
      </c>
      <c r="F25" s="49"/>
    </row>
    <row r="26" spans="1:21" x14ac:dyDescent="0.35">
      <c r="B26" t="s">
        <v>611</v>
      </c>
      <c r="C26" t="s">
        <v>484</v>
      </c>
      <c r="D26" t="s">
        <v>33</v>
      </c>
      <c r="E26" t="s">
        <v>34</v>
      </c>
      <c r="F26" s="49" t="s">
        <v>671</v>
      </c>
    </row>
    <row r="36" spans="1:7" x14ac:dyDescent="0.35">
      <c r="B36" s="37" t="s">
        <v>8</v>
      </c>
      <c r="C36" s="37" t="s">
        <v>215</v>
      </c>
      <c r="D36" s="37" t="s">
        <v>216</v>
      </c>
      <c r="E36" s="37" t="s">
        <v>217</v>
      </c>
      <c r="F36" s="37" t="s">
        <v>218</v>
      </c>
      <c r="G36" s="37" t="s">
        <v>219</v>
      </c>
    </row>
    <row r="37" spans="1:7" x14ac:dyDescent="0.35">
      <c r="B37" t="s">
        <v>328</v>
      </c>
      <c r="C37" t="s">
        <v>329</v>
      </c>
      <c r="D37" t="s">
        <v>19</v>
      </c>
      <c r="E37" t="s">
        <v>19</v>
      </c>
      <c r="F37" t="s">
        <v>330</v>
      </c>
      <c r="G37" s="38"/>
    </row>
    <row r="38" spans="1:7" x14ac:dyDescent="0.35">
      <c r="B38" t="s">
        <v>331</v>
      </c>
      <c r="C38" t="s">
        <v>332</v>
      </c>
      <c r="D38" t="s">
        <v>333</v>
      </c>
      <c r="E38" t="s">
        <v>333</v>
      </c>
      <c r="F38" t="s">
        <v>334</v>
      </c>
      <c r="G38" s="38"/>
    </row>
    <row r="39" spans="1:7" x14ac:dyDescent="0.35">
      <c r="B39" t="s">
        <v>335</v>
      </c>
      <c r="C39" t="s">
        <v>336</v>
      </c>
      <c r="D39" t="s">
        <v>333</v>
      </c>
      <c r="E39" t="s">
        <v>333</v>
      </c>
      <c r="F39" t="s">
        <v>333</v>
      </c>
      <c r="G39" s="38"/>
    </row>
    <row r="41" spans="1:7" x14ac:dyDescent="0.35">
      <c r="A41" t="s">
        <v>337</v>
      </c>
      <c r="B41" t="s">
        <v>338</v>
      </c>
    </row>
  </sheetData>
  <dataValidations count="3">
    <dataValidation type="list" allowBlank="1" showInputMessage="1" showErrorMessage="1" sqref="F14" xr:uid="{00000000-0002-0000-0400-000000000000}">
      <formula1>$U$3:$U$5</formula1>
    </dataValidation>
    <dataValidation type="list" allowBlank="1" showInputMessage="1" showErrorMessage="1" sqref="F17" xr:uid="{681DE989-4179-4C94-82D2-7E17F8B0F676}">
      <formula1>$U$9:$U$14</formula1>
    </dataValidation>
    <dataValidation type="list" allowBlank="1" showInputMessage="1" showErrorMessage="1" sqref="F21 F18" xr:uid="{8917F1D9-3F8A-4053-BF4A-02C3CDACB94D}">
      <formula1>$U$18:$U$35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4"/>
  <sheetViews>
    <sheetView workbookViewId="0">
      <selection activeCell="K34" sqref="K34"/>
    </sheetView>
  </sheetViews>
  <sheetFormatPr defaultRowHeight="14.5" x14ac:dyDescent="0.35"/>
  <sheetData>
    <row r="1" spans="2:7" x14ac:dyDescent="0.35">
      <c r="B1" s="35" t="s">
        <v>454</v>
      </c>
      <c r="C1" s="36"/>
      <c r="D1" s="36"/>
      <c r="E1" s="36"/>
      <c r="F1" s="36"/>
      <c r="G1" s="36"/>
    </row>
    <row r="3" spans="2:7" ht="377" x14ac:dyDescent="0.35">
      <c r="B3" s="39" t="s">
        <v>455</v>
      </c>
    </row>
    <row r="4" spans="2:7" ht="145" x14ac:dyDescent="0.35">
      <c r="B4" s="39" t="s">
        <v>456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H14"/>
  <sheetViews>
    <sheetView zoomScale="70" zoomScaleNormal="70" workbookViewId="0">
      <selection activeCell="F40" sqref="F40"/>
    </sheetView>
  </sheetViews>
  <sheetFormatPr defaultRowHeight="14.5" x14ac:dyDescent="0.35"/>
  <cols>
    <col min="2" max="2" width="26.08984375" customWidth="1"/>
    <col min="3" max="3" width="21" customWidth="1"/>
    <col min="4" max="4" width="19.08984375" customWidth="1"/>
    <col min="5" max="5" width="25.90625" customWidth="1"/>
    <col min="6" max="6" width="30" customWidth="1"/>
  </cols>
  <sheetData>
    <row r="2" spans="1:8" x14ac:dyDescent="0.35">
      <c r="A2" s="39"/>
      <c r="B2" s="13" t="s">
        <v>8</v>
      </c>
      <c r="C2" s="13" t="s">
        <v>9</v>
      </c>
      <c r="D2" s="13" t="s">
        <v>10</v>
      </c>
      <c r="E2" s="13" t="s">
        <v>11</v>
      </c>
      <c r="F2" s="13" t="s">
        <v>12</v>
      </c>
      <c r="G2" s="39"/>
      <c r="H2" s="39"/>
    </row>
    <row r="3" spans="1:8" x14ac:dyDescent="0.35">
      <c r="A3" s="39"/>
      <c r="B3" t="s">
        <v>672</v>
      </c>
      <c r="C3" t="s">
        <v>673</v>
      </c>
      <c r="D3" t="s">
        <v>38</v>
      </c>
      <c r="E3" t="s">
        <v>124</v>
      </c>
      <c r="G3" s="39"/>
      <c r="H3" s="39"/>
    </row>
    <row r="4" spans="1:8" x14ac:dyDescent="0.35">
      <c r="A4" s="39"/>
      <c r="B4" t="s">
        <v>674</v>
      </c>
      <c r="C4" t="s">
        <v>673</v>
      </c>
      <c r="D4" t="s">
        <v>38</v>
      </c>
      <c r="E4" t="s">
        <v>124</v>
      </c>
      <c r="G4" s="39"/>
      <c r="H4" s="39"/>
    </row>
    <row r="5" spans="1:8" x14ac:dyDescent="0.35">
      <c r="A5" s="39"/>
      <c r="B5" t="s">
        <v>175</v>
      </c>
      <c r="C5" t="s">
        <v>176</v>
      </c>
      <c r="D5" t="s">
        <v>124</v>
      </c>
      <c r="E5" t="s">
        <v>124</v>
      </c>
      <c r="F5" s="27" t="s">
        <v>669</v>
      </c>
      <c r="G5" s="39"/>
      <c r="H5" s="39"/>
    </row>
    <row r="6" spans="1:8" x14ac:dyDescent="0.35">
      <c r="F6" s="27"/>
    </row>
    <row r="7" spans="1:8" x14ac:dyDescent="0.35">
      <c r="B7" t="s">
        <v>675</v>
      </c>
      <c r="C7" t="s">
        <v>673</v>
      </c>
      <c r="D7" t="s">
        <v>38</v>
      </c>
      <c r="E7" t="s">
        <v>124</v>
      </c>
      <c r="F7" s="27"/>
    </row>
    <row r="8" spans="1:8" x14ac:dyDescent="0.35">
      <c r="B8" t="s">
        <v>175</v>
      </c>
      <c r="C8" t="s">
        <v>176</v>
      </c>
      <c r="D8" t="s">
        <v>124</v>
      </c>
      <c r="E8" t="s">
        <v>124</v>
      </c>
      <c r="F8" s="27" t="s">
        <v>677</v>
      </c>
    </row>
    <row r="9" spans="1:8" x14ac:dyDescent="0.35">
      <c r="F9" s="27"/>
    </row>
    <row r="10" spans="1:8" x14ac:dyDescent="0.35">
      <c r="B10" t="s">
        <v>676</v>
      </c>
      <c r="C10" t="s">
        <v>673</v>
      </c>
      <c r="D10" t="s">
        <v>38</v>
      </c>
      <c r="E10" t="s">
        <v>124</v>
      </c>
      <c r="F10" s="27"/>
    </row>
    <row r="11" spans="1:8" x14ac:dyDescent="0.35">
      <c r="B11" t="s">
        <v>175</v>
      </c>
      <c r="C11" t="s">
        <v>176</v>
      </c>
      <c r="D11" t="s">
        <v>124</v>
      </c>
      <c r="E11" t="s">
        <v>124</v>
      </c>
      <c r="F11" s="27" t="s">
        <v>677</v>
      </c>
    </row>
    <row r="12" spans="1:8" x14ac:dyDescent="0.35">
      <c r="F12" s="27"/>
    </row>
    <row r="13" spans="1:8" x14ac:dyDescent="0.35">
      <c r="B13" t="s">
        <v>676</v>
      </c>
      <c r="C13" t="s">
        <v>673</v>
      </c>
      <c r="D13" t="s">
        <v>38</v>
      </c>
      <c r="E13" t="s">
        <v>124</v>
      </c>
      <c r="F13" s="27"/>
    </row>
    <row r="14" spans="1:8" x14ac:dyDescent="0.35">
      <c r="F14" s="2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9"/>
  <sheetViews>
    <sheetView zoomScale="70" zoomScaleNormal="70" workbookViewId="0">
      <selection activeCell="E37" sqref="E37"/>
    </sheetView>
  </sheetViews>
  <sheetFormatPr defaultRowHeight="14.5" x14ac:dyDescent="0.35"/>
  <cols>
    <col min="1" max="1" width="37.81640625" customWidth="1"/>
    <col min="2" max="2" width="26.08984375" customWidth="1"/>
    <col min="3" max="3" width="21" customWidth="1"/>
    <col min="4" max="4" width="19.08984375" customWidth="1"/>
    <col min="5" max="5" width="25.90625" customWidth="1"/>
    <col min="6" max="6" width="30" customWidth="1"/>
  </cols>
  <sheetData>
    <row r="2" spans="1:8" x14ac:dyDescent="0.35">
      <c r="A2" s="39"/>
      <c r="B2" s="13" t="s">
        <v>8</v>
      </c>
      <c r="C2" s="13" t="s">
        <v>9</v>
      </c>
      <c r="D2" s="13" t="s">
        <v>10</v>
      </c>
      <c r="E2" s="13" t="s">
        <v>11</v>
      </c>
      <c r="F2" s="13" t="s">
        <v>12</v>
      </c>
      <c r="G2" s="39"/>
      <c r="H2" s="39"/>
    </row>
    <row r="3" spans="1:8" x14ac:dyDescent="0.35">
      <c r="A3" s="39"/>
      <c r="B3" t="s">
        <v>678</v>
      </c>
      <c r="C3" t="s">
        <v>673</v>
      </c>
      <c r="D3" t="s">
        <v>33</v>
      </c>
      <c r="E3" t="s">
        <v>679</v>
      </c>
      <c r="F3" t="s">
        <v>680</v>
      </c>
      <c r="G3" s="39"/>
      <c r="H3" s="39"/>
    </row>
    <row r="4" spans="1:8" x14ac:dyDescent="0.35">
      <c r="A4" s="39"/>
      <c r="B4" t="s">
        <v>681</v>
      </c>
      <c r="C4" t="s">
        <v>673</v>
      </c>
      <c r="D4" t="s">
        <v>33</v>
      </c>
      <c r="E4" t="s">
        <v>679</v>
      </c>
      <c r="F4" t="s">
        <v>682</v>
      </c>
      <c r="G4" s="39"/>
      <c r="H4" s="39"/>
    </row>
    <row r="5" spans="1:8" x14ac:dyDescent="0.35">
      <c r="A5" s="39"/>
      <c r="G5" s="39"/>
      <c r="H5" s="39"/>
    </row>
    <row r="6" spans="1:8" ht="35" customHeight="1" x14ac:dyDescent="0.35">
      <c r="A6" s="2" t="s">
        <v>683</v>
      </c>
    </row>
    <row r="7" spans="1:8" x14ac:dyDescent="0.35">
      <c r="B7" t="s">
        <v>684</v>
      </c>
      <c r="C7" t="s">
        <v>673</v>
      </c>
      <c r="D7" s="49" t="s">
        <v>124</v>
      </c>
      <c r="E7" t="s">
        <v>687</v>
      </c>
    </row>
    <row r="8" spans="1:8" x14ac:dyDescent="0.35">
      <c r="B8" t="s">
        <v>685</v>
      </c>
      <c r="C8" t="s">
        <v>673</v>
      </c>
      <c r="D8" s="49" t="s">
        <v>124</v>
      </c>
      <c r="E8" t="s">
        <v>687</v>
      </c>
    </row>
    <row r="9" spans="1:8" x14ac:dyDescent="0.35">
      <c r="B9" t="s">
        <v>686</v>
      </c>
      <c r="C9" t="s">
        <v>673</v>
      </c>
      <c r="D9" s="49" t="s">
        <v>124</v>
      </c>
      <c r="E9" t="s">
        <v>687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49"/>
  <sheetViews>
    <sheetView zoomScale="85" zoomScaleNormal="85" workbookViewId="0">
      <selection activeCell="C37" sqref="C37:G37"/>
    </sheetView>
  </sheetViews>
  <sheetFormatPr defaultRowHeight="14.5" x14ac:dyDescent="0.35"/>
  <cols>
    <col min="1" max="1" width="29.90625" customWidth="1"/>
    <col min="2" max="2" width="40.6328125" customWidth="1"/>
    <col min="3" max="3" width="18.453125" customWidth="1"/>
  </cols>
  <sheetData>
    <row r="2" spans="1:6" x14ac:dyDescent="0.35">
      <c r="B2" t="s">
        <v>8</v>
      </c>
      <c r="C2" t="s">
        <v>215</v>
      </c>
      <c r="D2" t="s">
        <v>216</v>
      </c>
      <c r="E2" t="s">
        <v>217</v>
      </c>
      <c r="F2" t="s">
        <v>457</v>
      </c>
    </row>
    <row r="3" spans="1:6" ht="43.5" x14ac:dyDescent="0.35">
      <c r="A3" s="2" t="s">
        <v>688</v>
      </c>
    </row>
    <row r="4" spans="1:6" x14ac:dyDescent="0.35">
      <c r="A4" t="s">
        <v>600</v>
      </c>
      <c r="B4" t="s">
        <v>693</v>
      </c>
      <c r="C4" t="s">
        <v>689</v>
      </c>
      <c r="D4" t="s">
        <v>33</v>
      </c>
      <c r="E4" t="s">
        <v>33</v>
      </c>
      <c r="F4" t="s">
        <v>691</v>
      </c>
    </row>
    <row r="5" spans="1:6" x14ac:dyDescent="0.35">
      <c r="B5" t="s">
        <v>692</v>
      </c>
      <c r="C5" t="s">
        <v>689</v>
      </c>
      <c r="D5" t="s">
        <v>33</v>
      </c>
      <c r="E5" t="s">
        <v>33</v>
      </c>
      <c r="F5" t="s">
        <v>694</v>
      </c>
    </row>
    <row r="6" spans="1:6" x14ac:dyDescent="0.35">
      <c r="B6" t="s">
        <v>695</v>
      </c>
      <c r="C6" t="s">
        <v>689</v>
      </c>
      <c r="D6" t="s">
        <v>33</v>
      </c>
      <c r="E6" t="s">
        <v>33</v>
      </c>
      <c r="F6" t="s">
        <v>726</v>
      </c>
    </row>
    <row r="7" spans="1:6" x14ac:dyDescent="0.35">
      <c r="B7" t="s">
        <v>609</v>
      </c>
      <c r="C7" t="s">
        <v>689</v>
      </c>
      <c r="D7" t="s">
        <v>33</v>
      </c>
      <c r="E7" t="s">
        <v>33</v>
      </c>
      <c r="F7" t="s">
        <v>726</v>
      </c>
    </row>
    <row r="8" spans="1:6" x14ac:dyDescent="0.35">
      <c r="B8" t="s">
        <v>696</v>
      </c>
      <c r="C8" t="s">
        <v>689</v>
      </c>
      <c r="D8" t="s">
        <v>33</v>
      </c>
      <c r="E8" t="s">
        <v>33</v>
      </c>
      <c r="F8" t="s">
        <v>726</v>
      </c>
    </row>
    <row r="9" spans="1:6" x14ac:dyDescent="0.35">
      <c r="B9" t="s">
        <v>697</v>
      </c>
      <c r="C9" t="s">
        <v>689</v>
      </c>
      <c r="D9" t="s">
        <v>33</v>
      </c>
      <c r="E9" t="s">
        <v>33</v>
      </c>
      <c r="F9" t="s">
        <v>726</v>
      </c>
    </row>
    <row r="10" spans="1:6" x14ac:dyDescent="0.35">
      <c r="B10" t="s">
        <v>698</v>
      </c>
      <c r="C10" t="s">
        <v>689</v>
      </c>
      <c r="D10" t="s">
        <v>33</v>
      </c>
      <c r="E10" t="s">
        <v>33</v>
      </c>
      <c r="F10" t="s">
        <v>726</v>
      </c>
    </row>
    <row r="11" spans="1:6" x14ac:dyDescent="0.35">
      <c r="B11" t="s">
        <v>699</v>
      </c>
      <c r="C11" t="s">
        <v>689</v>
      </c>
      <c r="D11" t="s">
        <v>33</v>
      </c>
      <c r="E11" t="s">
        <v>33</v>
      </c>
      <c r="F11" t="s">
        <v>726</v>
      </c>
    </row>
    <row r="12" spans="1:6" x14ac:dyDescent="0.35">
      <c r="B12" t="s">
        <v>700</v>
      </c>
      <c r="C12" t="s">
        <v>689</v>
      </c>
      <c r="D12" t="s">
        <v>33</v>
      </c>
      <c r="E12" t="s">
        <v>33</v>
      </c>
      <c r="F12" t="s">
        <v>726</v>
      </c>
    </row>
    <row r="13" spans="1:6" x14ac:dyDescent="0.35">
      <c r="B13" t="s">
        <v>701</v>
      </c>
      <c r="C13" t="s">
        <v>689</v>
      </c>
      <c r="D13" t="s">
        <v>33</v>
      </c>
      <c r="E13" t="s">
        <v>33</v>
      </c>
      <c r="F13" t="s">
        <v>726</v>
      </c>
    </row>
    <row r="14" spans="1:6" x14ac:dyDescent="0.35">
      <c r="B14" t="s">
        <v>702</v>
      </c>
      <c r="C14" t="s">
        <v>689</v>
      </c>
      <c r="D14" t="s">
        <v>33</v>
      </c>
      <c r="E14" t="s">
        <v>33</v>
      </c>
      <c r="F14" t="s">
        <v>726</v>
      </c>
    </row>
    <row r="15" spans="1:6" x14ac:dyDescent="0.35">
      <c r="A15" t="s">
        <v>703</v>
      </c>
      <c r="B15" t="s">
        <v>693</v>
      </c>
      <c r="C15" t="s">
        <v>689</v>
      </c>
      <c r="D15" t="s">
        <v>33</v>
      </c>
      <c r="E15" t="s">
        <v>33</v>
      </c>
      <c r="F15" t="s">
        <v>691</v>
      </c>
    </row>
    <row r="16" spans="1:6" x14ac:dyDescent="0.35">
      <c r="B16" t="s">
        <v>692</v>
      </c>
      <c r="C16" t="s">
        <v>689</v>
      </c>
      <c r="D16" t="s">
        <v>33</v>
      </c>
      <c r="E16" t="s">
        <v>33</v>
      </c>
      <c r="F16" t="s">
        <v>694</v>
      </c>
    </row>
    <row r="17" spans="1:6" x14ac:dyDescent="0.35">
      <c r="B17" t="s">
        <v>609</v>
      </c>
      <c r="C17" t="s">
        <v>689</v>
      </c>
      <c r="D17" t="s">
        <v>33</v>
      </c>
      <c r="E17" t="s">
        <v>33</v>
      </c>
      <c r="F17" t="s">
        <v>726</v>
      </c>
    </row>
    <row r="18" spans="1:6" x14ac:dyDescent="0.35">
      <c r="B18" t="s">
        <v>696</v>
      </c>
      <c r="C18" t="s">
        <v>689</v>
      </c>
      <c r="D18" t="s">
        <v>33</v>
      </c>
      <c r="E18" t="s">
        <v>33</v>
      </c>
      <c r="F18" t="s">
        <v>726</v>
      </c>
    </row>
    <row r="19" spans="1:6" x14ac:dyDescent="0.35">
      <c r="B19" t="s">
        <v>697</v>
      </c>
      <c r="C19" t="s">
        <v>689</v>
      </c>
      <c r="D19" t="s">
        <v>33</v>
      </c>
      <c r="E19" t="s">
        <v>33</v>
      </c>
      <c r="F19" t="s">
        <v>726</v>
      </c>
    </row>
    <row r="20" spans="1:6" x14ac:dyDescent="0.35">
      <c r="B20" t="s">
        <v>702</v>
      </c>
      <c r="C20" t="s">
        <v>689</v>
      </c>
      <c r="D20" t="s">
        <v>33</v>
      </c>
      <c r="E20" t="s">
        <v>33</v>
      </c>
      <c r="F20" t="s">
        <v>726</v>
      </c>
    </row>
    <row r="21" spans="1:6" x14ac:dyDescent="0.35">
      <c r="B21" t="s">
        <v>699</v>
      </c>
      <c r="C21" t="s">
        <v>689</v>
      </c>
      <c r="D21" t="s">
        <v>33</v>
      </c>
      <c r="E21" t="s">
        <v>33</v>
      </c>
      <c r="F21" t="s">
        <v>726</v>
      </c>
    </row>
    <row r="22" spans="1:6" x14ac:dyDescent="0.35">
      <c r="B22" t="s">
        <v>700</v>
      </c>
      <c r="C22" t="s">
        <v>689</v>
      </c>
      <c r="D22" t="s">
        <v>33</v>
      </c>
      <c r="E22" t="s">
        <v>33</v>
      </c>
      <c r="F22" t="s">
        <v>726</v>
      </c>
    </row>
    <row r="23" spans="1:6" x14ac:dyDescent="0.35">
      <c r="B23" t="s">
        <v>537</v>
      </c>
      <c r="C23" t="s">
        <v>689</v>
      </c>
      <c r="D23" t="s">
        <v>33</v>
      </c>
      <c r="E23" t="s">
        <v>33</v>
      </c>
      <c r="F23" t="s">
        <v>726</v>
      </c>
    </row>
    <row r="24" spans="1:6" x14ac:dyDescent="0.35">
      <c r="B24" t="s">
        <v>629</v>
      </c>
      <c r="C24" t="s">
        <v>689</v>
      </c>
      <c r="D24" t="s">
        <v>33</v>
      </c>
      <c r="E24" t="s">
        <v>33</v>
      </c>
      <c r="F24" t="s">
        <v>726</v>
      </c>
    </row>
    <row r="25" spans="1:6" x14ac:dyDescent="0.35">
      <c r="B25" t="s">
        <v>704</v>
      </c>
      <c r="C25" t="s">
        <v>689</v>
      </c>
      <c r="D25" t="s">
        <v>33</v>
      </c>
      <c r="E25" t="s">
        <v>33</v>
      </c>
      <c r="F25" t="s">
        <v>726</v>
      </c>
    </row>
    <row r="26" spans="1:6" x14ac:dyDescent="0.35">
      <c r="A26" t="s">
        <v>705</v>
      </c>
      <c r="B26" t="s">
        <v>706</v>
      </c>
      <c r="C26" t="s">
        <v>689</v>
      </c>
      <c r="D26" t="s">
        <v>33</v>
      </c>
      <c r="E26" t="s">
        <v>33</v>
      </c>
      <c r="F26" t="s">
        <v>690</v>
      </c>
    </row>
    <row r="27" spans="1:6" x14ac:dyDescent="0.35">
      <c r="B27" t="s">
        <v>609</v>
      </c>
      <c r="C27" t="s">
        <v>689</v>
      </c>
      <c r="D27" t="s">
        <v>33</v>
      </c>
      <c r="E27" t="s">
        <v>33</v>
      </c>
      <c r="F27" t="s">
        <v>727</v>
      </c>
    </row>
    <row r="28" spans="1:6" x14ac:dyDescent="0.35">
      <c r="B28" t="s">
        <v>707</v>
      </c>
      <c r="C28" t="s">
        <v>689</v>
      </c>
      <c r="D28" t="s">
        <v>33</v>
      </c>
      <c r="E28" t="s">
        <v>33</v>
      </c>
      <c r="F28" t="s">
        <v>727</v>
      </c>
    </row>
    <row r="29" spans="1:6" x14ac:dyDescent="0.35">
      <c r="B29" t="s">
        <v>708</v>
      </c>
      <c r="C29" t="s">
        <v>689</v>
      </c>
      <c r="D29" t="s">
        <v>33</v>
      </c>
      <c r="E29" t="s">
        <v>33</v>
      </c>
      <c r="F29" t="s">
        <v>727</v>
      </c>
    </row>
    <row r="30" spans="1:6" x14ac:dyDescent="0.35">
      <c r="B30" t="s">
        <v>710</v>
      </c>
      <c r="C30" t="s">
        <v>689</v>
      </c>
      <c r="D30" t="s">
        <v>33</v>
      </c>
      <c r="E30" t="s">
        <v>33</v>
      </c>
      <c r="F30" t="s">
        <v>727</v>
      </c>
    </row>
    <row r="31" spans="1:6" x14ac:dyDescent="0.35">
      <c r="B31" t="s">
        <v>709</v>
      </c>
      <c r="C31" t="s">
        <v>689</v>
      </c>
      <c r="D31" t="s">
        <v>33</v>
      </c>
      <c r="E31" t="s">
        <v>33</v>
      </c>
      <c r="F31" t="s">
        <v>727</v>
      </c>
    </row>
    <row r="32" spans="1:6" x14ac:dyDescent="0.35">
      <c r="B32" t="s">
        <v>697</v>
      </c>
      <c r="C32" t="s">
        <v>689</v>
      </c>
      <c r="D32" t="s">
        <v>33</v>
      </c>
      <c r="E32" t="s">
        <v>33</v>
      </c>
      <c r="F32" t="s">
        <v>727</v>
      </c>
    </row>
    <row r="33" spans="1:6" x14ac:dyDescent="0.35">
      <c r="B33" t="s">
        <v>701</v>
      </c>
      <c r="C33" t="s">
        <v>689</v>
      </c>
      <c r="D33" t="s">
        <v>33</v>
      </c>
      <c r="E33" t="s">
        <v>33</v>
      </c>
      <c r="F33" t="s">
        <v>727</v>
      </c>
    </row>
    <row r="35" spans="1:6" ht="29" x14ac:dyDescent="0.35">
      <c r="A35" s="2" t="s">
        <v>711</v>
      </c>
      <c r="B35" t="s">
        <v>712</v>
      </c>
      <c r="C35" t="s">
        <v>713</v>
      </c>
      <c r="D35" t="s">
        <v>33</v>
      </c>
      <c r="E35" t="s">
        <v>124</v>
      </c>
      <c r="F35" t="s">
        <v>714</v>
      </c>
    </row>
    <row r="36" spans="1:6" x14ac:dyDescent="0.35">
      <c r="A36" s="2"/>
      <c r="B36" t="s">
        <v>715</v>
      </c>
      <c r="C36" t="s">
        <v>719</v>
      </c>
      <c r="D36" t="s">
        <v>33</v>
      </c>
      <c r="E36" t="s">
        <v>124</v>
      </c>
      <c r="F36" t="s">
        <v>720</v>
      </c>
    </row>
    <row r="37" spans="1:6" x14ac:dyDescent="0.35">
      <c r="A37" s="2"/>
      <c r="B37" t="s">
        <v>716</v>
      </c>
      <c r="C37" t="s">
        <v>673</v>
      </c>
      <c r="D37" t="s">
        <v>33</v>
      </c>
      <c r="E37" t="s">
        <v>679</v>
      </c>
      <c r="F37" t="s">
        <v>721</v>
      </c>
    </row>
    <row r="38" spans="1:6" x14ac:dyDescent="0.35">
      <c r="B38" t="s">
        <v>718</v>
      </c>
      <c r="C38" t="s">
        <v>673</v>
      </c>
      <c r="D38" t="s">
        <v>124</v>
      </c>
      <c r="E38" t="s">
        <v>33</v>
      </c>
    </row>
    <row r="39" spans="1:6" x14ac:dyDescent="0.35">
      <c r="B39" t="s">
        <v>717</v>
      </c>
      <c r="C39" t="s">
        <v>719</v>
      </c>
      <c r="D39" t="s">
        <v>33</v>
      </c>
      <c r="E39" t="s">
        <v>33</v>
      </c>
      <c r="F39" t="s">
        <v>722</v>
      </c>
    </row>
    <row r="41" spans="1:6" ht="29" x14ac:dyDescent="0.35">
      <c r="A41" t="s">
        <v>723</v>
      </c>
      <c r="B41" s="2" t="s">
        <v>724</v>
      </c>
      <c r="C41" t="s">
        <v>689</v>
      </c>
      <c r="D41" t="s">
        <v>33</v>
      </c>
      <c r="E41" t="s">
        <v>33</v>
      </c>
      <c r="F41" t="s">
        <v>728</v>
      </c>
    </row>
    <row r="42" spans="1:6" ht="29" x14ac:dyDescent="0.35">
      <c r="B42" s="2" t="s">
        <v>725</v>
      </c>
      <c r="C42" t="s">
        <v>689</v>
      </c>
      <c r="D42" t="s">
        <v>33</v>
      </c>
      <c r="E42" t="s">
        <v>33</v>
      </c>
      <c r="F42" t="s">
        <v>729</v>
      </c>
    </row>
    <row r="47" spans="1:6" x14ac:dyDescent="0.35">
      <c r="B47" t="s">
        <v>458</v>
      </c>
      <c r="C47" t="s">
        <v>459</v>
      </c>
      <c r="D47" t="s">
        <v>124</v>
      </c>
      <c r="E47" t="s">
        <v>124</v>
      </c>
      <c r="F47" t="s">
        <v>460</v>
      </c>
    </row>
    <row r="48" spans="1:6" x14ac:dyDescent="0.35">
      <c r="B48" t="s">
        <v>461</v>
      </c>
      <c r="C48" t="s">
        <v>462</v>
      </c>
      <c r="D48" t="s">
        <v>33</v>
      </c>
      <c r="E48" t="s">
        <v>463</v>
      </c>
      <c r="F48" t="s">
        <v>464</v>
      </c>
    </row>
    <row r="49" spans="2:6" x14ac:dyDescent="0.35">
      <c r="B49" t="s">
        <v>465</v>
      </c>
      <c r="C49" t="s">
        <v>466</v>
      </c>
      <c r="D49" t="s">
        <v>33</v>
      </c>
      <c r="E49" t="s">
        <v>463</v>
      </c>
      <c r="F49" t="s">
        <v>467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27"/>
  <sheetViews>
    <sheetView topLeftCell="B1" zoomScale="85" zoomScaleNormal="85" workbookViewId="0">
      <selection activeCell="F16" sqref="F16"/>
    </sheetView>
  </sheetViews>
  <sheetFormatPr defaultRowHeight="14.5" x14ac:dyDescent="0.35"/>
  <cols>
    <col min="1" max="1" width="31.90625" customWidth="1"/>
    <col min="2" max="2" width="34.6328125" customWidth="1"/>
    <col min="3" max="3" width="25.26953125" customWidth="1"/>
    <col min="4" max="4" width="12.7265625" customWidth="1"/>
    <col min="5" max="5" width="21.1796875" customWidth="1"/>
    <col min="6" max="6" width="50.1796875" customWidth="1"/>
  </cols>
  <sheetData>
    <row r="2" spans="1:7" x14ac:dyDescent="0.35">
      <c r="A2" t="s">
        <v>730</v>
      </c>
      <c r="B2" s="37" t="s">
        <v>8</v>
      </c>
      <c r="C2" s="37" t="s">
        <v>215</v>
      </c>
      <c r="D2" s="37" t="s">
        <v>216</v>
      </c>
      <c r="E2" s="37" t="s">
        <v>217</v>
      </c>
      <c r="F2" s="37" t="s">
        <v>218</v>
      </c>
      <c r="G2" s="37" t="s">
        <v>219</v>
      </c>
    </row>
    <row r="3" spans="1:7" x14ac:dyDescent="0.35">
      <c r="A3" t="s">
        <v>731</v>
      </c>
      <c r="B3" t="s">
        <v>732</v>
      </c>
      <c r="C3" t="s">
        <v>719</v>
      </c>
      <c r="D3" t="s">
        <v>33</v>
      </c>
      <c r="E3" t="s">
        <v>124</v>
      </c>
      <c r="F3" t="s">
        <v>733</v>
      </c>
    </row>
    <row r="4" spans="1:7" x14ac:dyDescent="0.35">
      <c r="A4" t="s">
        <v>734</v>
      </c>
      <c r="B4" t="s">
        <v>735</v>
      </c>
      <c r="C4" t="s">
        <v>736</v>
      </c>
      <c r="D4" t="s">
        <v>124</v>
      </c>
      <c r="E4" t="s">
        <v>33</v>
      </c>
      <c r="F4" t="s">
        <v>737</v>
      </c>
    </row>
    <row r="5" spans="1:7" ht="58" x14ac:dyDescent="0.35">
      <c r="A5" t="s">
        <v>473</v>
      </c>
      <c r="B5" t="s">
        <v>738</v>
      </c>
      <c r="C5" t="s">
        <v>38</v>
      </c>
      <c r="D5" t="s">
        <v>33</v>
      </c>
      <c r="E5" t="s">
        <v>33</v>
      </c>
      <c r="F5" s="2" t="s">
        <v>740</v>
      </c>
    </row>
    <row r="7" spans="1:7" x14ac:dyDescent="0.35">
      <c r="A7" t="s">
        <v>739</v>
      </c>
      <c r="B7" t="s">
        <v>741</v>
      </c>
      <c r="C7" t="s">
        <v>673</v>
      </c>
      <c r="D7" t="s">
        <v>33</v>
      </c>
      <c r="E7" t="s">
        <v>679</v>
      </c>
      <c r="F7" t="s">
        <v>748</v>
      </c>
    </row>
    <row r="8" spans="1:7" x14ac:dyDescent="0.35">
      <c r="B8" t="s">
        <v>742</v>
      </c>
      <c r="C8" t="s">
        <v>673</v>
      </c>
      <c r="D8" t="s">
        <v>33</v>
      </c>
      <c r="E8" t="s">
        <v>679</v>
      </c>
      <c r="F8" t="s">
        <v>749</v>
      </c>
    </row>
    <row r="9" spans="1:7" x14ac:dyDescent="0.35">
      <c r="B9" t="s">
        <v>743</v>
      </c>
      <c r="C9" t="s">
        <v>673</v>
      </c>
      <c r="D9" t="s">
        <v>33</v>
      </c>
      <c r="E9" t="s">
        <v>679</v>
      </c>
      <c r="F9" t="s">
        <v>750</v>
      </c>
    </row>
    <row r="10" spans="1:7" x14ac:dyDescent="0.35">
      <c r="B10" t="s">
        <v>744</v>
      </c>
      <c r="C10" t="s">
        <v>673</v>
      </c>
      <c r="D10" t="s">
        <v>33</v>
      </c>
      <c r="E10" t="s">
        <v>679</v>
      </c>
      <c r="F10" t="s">
        <v>751</v>
      </c>
    </row>
    <row r="11" spans="1:7" x14ac:dyDescent="0.35">
      <c r="B11" t="s">
        <v>745</v>
      </c>
      <c r="C11" t="s">
        <v>673</v>
      </c>
      <c r="D11" t="s">
        <v>33</v>
      </c>
      <c r="E11" t="s">
        <v>679</v>
      </c>
      <c r="F11" t="s">
        <v>752</v>
      </c>
    </row>
    <row r="12" spans="1:7" x14ac:dyDescent="0.35">
      <c r="B12" t="s">
        <v>746</v>
      </c>
      <c r="C12" t="s">
        <v>673</v>
      </c>
      <c r="D12" t="s">
        <v>33</v>
      </c>
      <c r="E12" t="s">
        <v>679</v>
      </c>
      <c r="F12" t="s">
        <v>753</v>
      </c>
    </row>
    <row r="13" spans="1:7" x14ac:dyDescent="0.35">
      <c r="B13" t="s">
        <v>747</v>
      </c>
      <c r="C13" t="s">
        <v>673</v>
      </c>
      <c r="D13" t="s">
        <v>33</v>
      </c>
      <c r="E13" t="s">
        <v>679</v>
      </c>
      <c r="F13" t="s">
        <v>754</v>
      </c>
    </row>
    <row r="14" spans="1:7" x14ac:dyDescent="0.35">
      <c r="B14" t="s">
        <v>473</v>
      </c>
      <c r="C14" t="s">
        <v>673</v>
      </c>
      <c r="D14" t="s">
        <v>33</v>
      </c>
      <c r="E14" t="s">
        <v>679</v>
      </c>
      <c r="F14" t="s">
        <v>755</v>
      </c>
    </row>
    <row r="15" spans="1:7" x14ac:dyDescent="0.35">
      <c r="B15" t="s">
        <v>175</v>
      </c>
      <c r="F15" s="49" t="s">
        <v>756</v>
      </c>
    </row>
    <row r="26" spans="1:2" x14ac:dyDescent="0.35">
      <c r="A26" t="s">
        <v>450</v>
      </c>
      <c r="B26" t="s">
        <v>451</v>
      </c>
    </row>
    <row r="27" spans="1:2" x14ac:dyDescent="0.35">
      <c r="B27" t="s">
        <v>452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33"/>
  <sheetViews>
    <sheetView workbookViewId="0">
      <selection activeCell="D1" sqref="D1:E1"/>
    </sheetView>
  </sheetViews>
  <sheetFormatPr defaultRowHeight="14.5" x14ac:dyDescent="0.35"/>
  <cols>
    <col min="1" max="1" width="28" customWidth="1"/>
    <col min="2" max="2" width="21.26953125" customWidth="1"/>
    <col min="3" max="3" width="15.08984375" customWidth="1"/>
    <col min="4" max="4" width="11.08984375" customWidth="1"/>
    <col min="5" max="5" width="21.6328125" customWidth="1"/>
    <col min="6" max="6" width="22.54296875" customWidth="1"/>
  </cols>
  <sheetData>
    <row r="2" spans="1:6" x14ac:dyDescent="0.35">
      <c r="B2" s="13" t="s">
        <v>8</v>
      </c>
      <c r="C2" s="13" t="s">
        <v>9</v>
      </c>
      <c r="D2" s="13" t="s">
        <v>10</v>
      </c>
      <c r="E2" s="13" t="s">
        <v>11</v>
      </c>
      <c r="F2" s="13" t="s">
        <v>12</v>
      </c>
    </row>
    <row r="3" spans="1:6" x14ac:dyDescent="0.35">
      <c r="A3" t="s">
        <v>468</v>
      </c>
    </row>
    <row r="5" spans="1:6" x14ac:dyDescent="0.35">
      <c r="A5" t="s">
        <v>469</v>
      </c>
      <c r="B5" t="s">
        <v>470</v>
      </c>
    </row>
    <row r="6" spans="1:6" x14ac:dyDescent="0.35">
      <c r="B6" t="s">
        <v>471</v>
      </c>
      <c r="C6" t="s">
        <v>137</v>
      </c>
      <c r="D6" t="s">
        <v>33</v>
      </c>
      <c r="E6" s="9" t="s">
        <v>201</v>
      </c>
      <c r="F6" t="s">
        <v>472</v>
      </c>
    </row>
    <row r="7" spans="1:6" x14ac:dyDescent="0.35">
      <c r="B7" t="s">
        <v>473</v>
      </c>
      <c r="C7" t="s">
        <v>137</v>
      </c>
      <c r="D7" t="s">
        <v>33</v>
      </c>
      <c r="E7" s="9" t="s">
        <v>201</v>
      </c>
      <c r="F7" t="s">
        <v>474</v>
      </c>
    </row>
    <row r="8" spans="1:6" x14ac:dyDescent="0.35">
      <c r="B8" t="s">
        <v>475</v>
      </c>
      <c r="C8" t="s">
        <v>137</v>
      </c>
      <c r="D8" t="s">
        <v>33</v>
      </c>
      <c r="E8" s="9" t="s">
        <v>201</v>
      </c>
      <c r="F8" t="s">
        <v>476</v>
      </c>
    </row>
    <row r="9" spans="1:6" x14ac:dyDescent="0.35">
      <c r="B9" t="s">
        <v>477</v>
      </c>
      <c r="C9" t="s">
        <v>176</v>
      </c>
      <c r="D9" t="s">
        <v>33</v>
      </c>
      <c r="E9" t="s">
        <v>124</v>
      </c>
      <c r="F9" t="s">
        <v>478</v>
      </c>
    </row>
    <row r="26" spans="2:7" x14ac:dyDescent="0.35">
      <c r="B26" s="37" t="s">
        <v>8</v>
      </c>
      <c r="C26" s="37" t="s">
        <v>215</v>
      </c>
      <c r="D26" s="37" t="s">
        <v>216</v>
      </c>
      <c r="E26" s="37" t="s">
        <v>217</v>
      </c>
      <c r="F26" s="37" t="s">
        <v>218</v>
      </c>
      <c r="G26" s="37" t="s">
        <v>219</v>
      </c>
    </row>
    <row r="27" spans="2:7" x14ac:dyDescent="0.35">
      <c r="B27" t="s">
        <v>479</v>
      </c>
      <c r="C27" t="s">
        <v>239</v>
      </c>
      <c r="D27" t="s">
        <v>333</v>
      </c>
      <c r="E27" t="s">
        <v>333</v>
      </c>
      <c r="F27" t="s">
        <v>480</v>
      </c>
      <c r="G27" s="38" t="s">
        <v>453</v>
      </c>
    </row>
    <row r="28" spans="2:7" x14ac:dyDescent="0.35">
      <c r="B28" t="s">
        <v>481</v>
      </c>
      <c r="C28" t="s">
        <v>333</v>
      </c>
      <c r="D28" t="s">
        <v>333</v>
      </c>
      <c r="E28" t="s">
        <v>333</v>
      </c>
      <c r="F28" t="s">
        <v>482</v>
      </c>
      <c r="G28" s="38" t="s">
        <v>453</v>
      </c>
    </row>
    <row r="29" spans="2:7" x14ac:dyDescent="0.35">
      <c r="B29" t="s">
        <v>483</v>
      </c>
      <c r="C29" t="s">
        <v>484</v>
      </c>
      <c r="D29" t="s">
        <v>333</v>
      </c>
      <c r="E29" t="s">
        <v>19</v>
      </c>
      <c r="F29" t="s">
        <v>485</v>
      </c>
      <c r="G29" s="38"/>
    </row>
    <row r="33" spans="2:2" x14ac:dyDescent="0.35">
      <c r="B33" s="3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G30"/>
  <sheetViews>
    <sheetView workbookViewId="0">
      <selection activeCell="H14" sqref="H14"/>
    </sheetView>
  </sheetViews>
  <sheetFormatPr defaultRowHeight="14.5" x14ac:dyDescent="0.35"/>
  <cols>
    <col min="1" max="1" width="26.08984375" customWidth="1"/>
    <col min="2" max="2" width="27.54296875" customWidth="1"/>
    <col min="3" max="3" width="14.453125" customWidth="1"/>
    <col min="6" max="6" width="20" customWidth="1"/>
  </cols>
  <sheetData>
    <row r="2" spans="1:7" x14ac:dyDescent="0.35">
      <c r="B2" s="13" t="s">
        <v>8</v>
      </c>
      <c r="C2" s="13" t="s">
        <v>9</v>
      </c>
      <c r="D2" s="13" t="s">
        <v>10</v>
      </c>
      <c r="E2" s="13" t="s">
        <v>11</v>
      </c>
      <c r="F2" s="13" t="s">
        <v>12</v>
      </c>
    </row>
    <row r="3" spans="1:7" x14ac:dyDescent="0.35">
      <c r="A3" t="s">
        <v>486</v>
      </c>
      <c r="B3" t="s">
        <v>487</v>
      </c>
      <c r="C3" t="s">
        <v>137</v>
      </c>
      <c r="D3" t="s">
        <v>124</v>
      </c>
      <c r="E3" t="s">
        <v>124</v>
      </c>
    </row>
    <row r="4" spans="1:7" x14ac:dyDescent="0.35">
      <c r="B4" t="s">
        <v>488</v>
      </c>
      <c r="C4" t="s">
        <v>475</v>
      </c>
      <c r="D4" t="s">
        <v>124</v>
      </c>
      <c r="E4" t="s">
        <v>124</v>
      </c>
    </row>
    <row r="5" spans="1:7" x14ac:dyDescent="0.35">
      <c r="B5" t="s">
        <v>489</v>
      </c>
      <c r="C5" t="s">
        <v>137</v>
      </c>
      <c r="D5" t="s">
        <v>124</v>
      </c>
      <c r="E5" t="s">
        <v>124</v>
      </c>
    </row>
    <row r="6" spans="1:7" x14ac:dyDescent="0.35">
      <c r="B6" t="s">
        <v>490</v>
      </c>
      <c r="C6" t="s">
        <v>137</v>
      </c>
      <c r="D6" t="s">
        <v>124</v>
      </c>
      <c r="E6" t="s">
        <v>124</v>
      </c>
    </row>
    <row r="7" spans="1:7" x14ac:dyDescent="0.35">
      <c r="B7" t="s">
        <v>491</v>
      </c>
      <c r="C7" t="s">
        <v>137</v>
      </c>
      <c r="D7" t="s">
        <v>124</v>
      </c>
      <c r="E7" t="s">
        <v>124</v>
      </c>
    </row>
    <row r="8" spans="1:7" x14ac:dyDescent="0.35">
      <c r="B8" t="s">
        <v>492</v>
      </c>
      <c r="C8" t="s">
        <v>137</v>
      </c>
      <c r="D8" t="s">
        <v>124</v>
      </c>
      <c r="E8" t="s">
        <v>124</v>
      </c>
    </row>
    <row r="9" spans="1:7" x14ac:dyDescent="0.35">
      <c r="A9" t="s">
        <v>493</v>
      </c>
      <c r="B9" t="s">
        <v>494</v>
      </c>
      <c r="C9" t="s">
        <v>137</v>
      </c>
      <c r="D9" t="s">
        <v>124</v>
      </c>
      <c r="E9" t="s">
        <v>124</v>
      </c>
    </row>
    <row r="10" spans="1:7" x14ac:dyDescent="0.35">
      <c r="B10" t="s">
        <v>495</v>
      </c>
      <c r="C10" t="s">
        <v>475</v>
      </c>
      <c r="D10" t="s">
        <v>124</v>
      </c>
      <c r="E10" t="s">
        <v>124</v>
      </c>
    </row>
    <row r="11" spans="1:7" x14ac:dyDescent="0.35">
      <c r="B11" t="s">
        <v>496</v>
      </c>
      <c r="C11" t="s">
        <v>137</v>
      </c>
      <c r="D11" t="s">
        <v>124</v>
      </c>
      <c r="E11" t="s">
        <v>124</v>
      </c>
    </row>
    <row r="15" spans="1:7" x14ac:dyDescent="0.35">
      <c r="B15" s="37" t="s">
        <v>8</v>
      </c>
      <c r="C15" s="37" t="s">
        <v>215</v>
      </c>
      <c r="D15" s="37" t="s">
        <v>216</v>
      </c>
      <c r="E15" s="37" t="s">
        <v>217</v>
      </c>
      <c r="F15" s="37" t="s">
        <v>218</v>
      </c>
      <c r="G15" s="37" t="s">
        <v>219</v>
      </c>
    </row>
    <row r="16" spans="1:7" x14ac:dyDescent="0.35">
      <c r="B16" t="s">
        <v>497</v>
      </c>
      <c r="C16" t="s">
        <v>333</v>
      </c>
      <c r="D16" t="s">
        <v>333</v>
      </c>
      <c r="E16" t="s">
        <v>333</v>
      </c>
      <c r="F16" t="s">
        <v>498</v>
      </c>
      <c r="G16" s="38"/>
    </row>
    <row r="17" spans="2:7" x14ac:dyDescent="0.35">
      <c r="B17" t="s">
        <v>499</v>
      </c>
      <c r="C17" t="s">
        <v>333</v>
      </c>
      <c r="D17" t="s">
        <v>333</v>
      </c>
      <c r="E17" t="s">
        <v>333</v>
      </c>
      <c r="F17" t="s">
        <v>500</v>
      </c>
      <c r="G17" s="38"/>
    </row>
    <row r="18" spans="2:7" x14ac:dyDescent="0.35">
      <c r="B18" t="s">
        <v>501</v>
      </c>
      <c r="C18" t="s">
        <v>333</v>
      </c>
      <c r="D18" t="s">
        <v>333</v>
      </c>
      <c r="E18" t="s">
        <v>333</v>
      </c>
      <c r="F18" t="s">
        <v>502</v>
      </c>
      <c r="G18" s="38"/>
    </row>
    <row r="22" spans="2:7" ht="101.5" x14ac:dyDescent="0.35">
      <c r="B22" s="39" t="s">
        <v>503</v>
      </c>
    </row>
    <row r="26" spans="2:7" x14ac:dyDescent="0.35">
      <c r="B26" s="37" t="s">
        <v>8</v>
      </c>
      <c r="C26" s="37" t="s">
        <v>215</v>
      </c>
      <c r="D26" s="37" t="s">
        <v>216</v>
      </c>
      <c r="E26" s="37" t="s">
        <v>217</v>
      </c>
      <c r="F26" s="37" t="s">
        <v>218</v>
      </c>
      <c r="G26" s="37" t="s">
        <v>219</v>
      </c>
    </row>
    <row r="27" spans="2:7" ht="72.5" x14ac:dyDescent="0.35">
      <c r="B27" t="s">
        <v>497</v>
      </c>
      <c r="C27" t="s">
        <v>475</v>
      </c>
      <c r="D27" t="s">
        <v>19</v>
      </c>
      <c r="E27" t="s">
        <v>19</v>
      </c>
      <c r="F27" s="41" t="s">
        <v>504</v>
      </c>
      <c r="G27" s="42"/>
    </row>
    <row r="30" spans="2:7" x14ac:dyDescent="0.35">
      <c r="B30" s="35" t="s">
        <v>505</v>
      </c>
      <c r="C30" s="36"/>
      <c r="D30" s="36"/>
      <c r="E30" s="36"/>
      <c r="F30" s="36"/>
      <c r="G30" s="3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 tint="0.79998168889431442"/>
  </sheetPr>
  <dimension ref="A1:J39"/>
  <sheetViews>
    <sheetView workbookViewId="0">
      <selection activeCell="H32" sqref="H32"/>
    </sheetView>
  </sheetViews>
  <sheetFormatPr defaultRowHeight="14.5" x14ac:dyDescent="0.35"/>
  <cols>
    <col min="1" max="1" width="32.6328125" customWidth="1"/>
    <col min="2" max="2" width="16.54296875" customWidth="1"/>
    <col min="3" max="3" width="15.54296875" customWidth="1"/>
    <col min="4" max="4" width="43.08984375" customWidth="1"/>
    <col min="5" max="5" width="39.36328125" customWidth="1"/>
    <col min="6" max="6" width="6.08984375" customWidth="1"/>
    <col min="7" max="7" width="11.453125" customWidth="1"/>
    <col min="8" max="8" width="23.08984375" customWidth="1"/>
    <col min="9" max="9" width="13" customWidth="1"/>
    <col min="10" max="10" width="21.08984375" customWidth="1"/>
  </cols>
  <sheetData>
    <row r="1" spans="1:10" x14ac:dyDescent="0.35">
      <c r="A1" s="23" t="s">
        <v>506</v>
      </c>
      <c r="B1" s="17"/>
      <c r="C1" s="17"/>
      <c r="D1" s="23" t="s">
        <v>507</v>
      </c>
      <c r="E1" s="23"/>
      <c r="G1" s="46" t="s">
        <v>508</v>
      </c>
      <c r="H1" s="47"/>
      <c r="I1" s="47"/>
      <c r="J1" s="48"/>
    </row>
    <row r="2" spans="1:10" x14ac:dyDescent="0.35">
      <c r="A2" s="27" t="s">
        <v>509</v>
      </c>
      <c r="B2" s="17"/>
      <c r="C2" s="17"/>
      <c r="D2" s="20" t="s">
        <v>510</v>
      </c>
      <c r="E2" s="21">
        <v>1</v>
      </c>
      <c r="G2" s="20" t="s">
        <v>511</v>
      </c>
      <c r="H2" s="20" t="s">
        <v>512</v>
      </c>
      <c r="I2" s="20" t="s">
        <v>513</v>
      </c>
      <c r="J2" s="20" t="s">
        <v>514</v>
      </c>
    </row>
    <row r="3" spans="1:10" x14ac:dyDescent="0.35">
      <c r="B3" s="17"/>
      <c r="C3" s="17"/>
      <c r="D3" s="20" t="s">
        <v>515</v>
      </c>
      <c r="E3" s="21" t="s">
        <v>516</v>
      </c>
      <c r="G3" s="24">
        <v>1</v>
      </c>
      <c r="H3" s="24" t="s">
        <v>516</v>
      </c>
      <c r="I3" s="24" t="s">
        <v>517</v>
      </c>
      <c r="J3" s="24" t="s">
        <v>518</v>
      </c>
    </row>
    <row r="4" spans="1:10" x14ac:dyDescent="0.35">
      <c r="B4" s="17"/>
      <c r="C4" s="17"/>
      <c r="D4" s="20" t="s">
        <v>519</v>
      </c>
      <c r="E4" s="21" t="s">
        <v>517</v>
      </c>
      <c r="G4" s="21">
        <v>1</v>
      </c>
      <c r="H4" s="21" t="s">
        <v>520</v>
      </c>
      <c r="I4" s="21" t="s">
        <v>517</v>
      </c>
      <c r="J4" s="21" t="s">
        <v>521</v>
      </c>
    </row>
    <row r="5" spans="1:10" x14ac:dyDescent="0.35">
      <c r="D5" s="21" t="s">
        <v>14</v>
      </c>
      <c r="E5" s="21" t="s">
        <v>522</v>
      </c>
      <c r="G5" s="21">
        <v>2</v>
      </c>
      <c r="H5" s="21" t="s">
        <v>523</v>
      </c>
      <c r="I5" s="21" t="s">
        <v>517</v>
      </c>
      <c r="J5" s="21" t="s">
        <v>524</v>
      </c>
    </row>
    <row r="6" spans="1:10" x14ac:dyDescent="0.35">
      <c r="D6" s="21" t="s">
        <v>525</v>
      </c>
      <c r="E6" s="21" t="s">
        <v>526</v>
      </c>
    </row>
    <row r="7" spans="1:10" x14ac:dyDescent="0.35">
      <c r="D7" s="21" t="s">
        <v>527</v>
      </c>
      <c r="E7" s="22">
        <v>46304</v>
      </c>
    </row>
    <row r="8" spans="1:10" x14ac:dyDescent="0.35">
      <c r="D8" s="21" t="s">
        <v>528</v>
      </c>
      <c r="E8" s="21" t="s">
        <v>529</v>
      </c>
    </row>
    <row r="9" spans="1:10" x14ac:dyDescent="0.35">
      <c r="D9" s="21" t="s">
        <v>530</v>
      </c>
      <c r="E9" s="21">
        <v>24</v>
      </c>
    </row>
    <row r="10" spans="1:10" x14ac:dyDescent="0.35">
      <c r="A10" t="s">
        <v>531</v>
      </c>
      <c r="D10" s="21" t="s">
        <v>532</v>
      </c>
      <c r="E10" s="21">
        <v>1.67</v>
      </c>
    </row>
    <row r="11" spans="1:10" x14ac:dyDescent="0.35">
      <c r="D11" s="21" t="s">
        <v>533</v>
      </c>
      <c r="E11" s="21">
        <v>48</v>
      </c>
    </row>
    <row r="12" spans="1:10" x14ac:dyDescent="0.35">
      <c r="A12" t="s">
        <v>534</v>
      </c>
      <c r="D12" s="21" t="s">
        <v>535</v>
      </c>
      <c r="E12" s="21">
        <v>17.21</v>
      </c>
    </row>
    <row r="13" spans="1:10" x14ac:dyDescent="0.35">
      <c r="A13" t="s">
        <v>536</v>
      </c>
      <c r="D13" s="21" t="s">
        <v>537</v>
      </c>
      <c r="E13" s="21" t="s">
        <v>280</v>
      </c>
    </row>
    <row r="14" spans="1:10" x14ac:dyDescent="0.35">
      <c r="A14" t="s">
        <v>538</v>
      </c>
      <c r="D14" s="21" t="s">
        <v>539</v>
      </c>
      <c r="E14" s="21" t="s">
        <v>540</v>
      </c>
    </row>
    <row r="15" spans="1:10" x14ac:dyDescent="0.35">
      <c r="A15" t="s">
        <v>541</v>
      </c>
      <c r="D15" s="28" t="s">
        <v>136</v>
      </c>
      <c r="E15" s="29">
        <v>4000000</v>
      </c>
    </row>
    <row r="16" spans="1:10" x14ac:dyDescent="0.35">
      <c r="A16" t="s">
        <v>542</v>
      </c>
      <c r="D16" s="21" t="s">
        <v>152</v>
      </c>
      <c r="E16" s="21" t="s">
        <v>543</v>
      </c>
    </row>
    <row r="17" spans="1:5" x14ac:dyDescent="0.35">
      <c r="A17" t="s">
        <v>544</v>
      </c>
      <c r="E17" s="17"/>
    </row>
    <row r="18" spans="1:5" x14ac:dyDescent="0.35">
      <c r="A18" t="s">
        <v>545</v>
      </c>
      <c r="D18" s="23" t="s">
        <v>546</v>
      </c>
    </row>
    <row r="19" spans="1:5" x14ac:dyDescent="0.35">
      <c r="A19" t="s">
        <v>547</v>
      </c>
      <c r="D19" s="13" t="s">
        <v>548</v>
      </c>
      <c r="E19" s="13" t="s">
        <v>549</v>
      </c>
    </row>
    <row r="20" spans="1:5" x14ac:dyDescent="0.35">
      <c r="A20" t="s">
        <v>550</v>
      </c>
      <c r="D20" s="13" t="s">
        <v>166</v>
      </c>
      <c r="E20" s="13" t="s">
        <v>551</v>
      </c>
    </row>
    <row r="21" spans="1:5" x14ac:dyDescent="0.35">
      <c r="A21" t="s">
        <v>552</v>
      </c>
      <c r="D21" t="s">
        <v>14</v>
      </c>
      <c r="E21" t="s">
        <v>522</v>
      </c>
    </row>
    <row r="22" spans="1:5" x14ac:dyDescent="0.35">
      <c r="A22" t="s">
        <v>553</v>
      </c>
      <c r="D22" t="s">
        <v>530</v>
      </c>
      <c r="E22" t="s">
        <v>554</v>
      </c>
    </row>
    <row r="23" spans="1:5" x14ac:dyDescent="0.35">
      <c r="A23" t="s">
        <v>555</v>
      </c>
      <c r="D23" t="s">
        <v>539</v>
      </c>
      <c r="E23" t="s">
        <v>540</v>
      </c>
    </row>
    <row r="24" spans="1:5" x14ac:dyDescent="0.35">
      <c r="A24" t="s">
        <v>556</v>
      </c>
      <c r="D24" t="s">
        <v>152</v>
      </c>
      <c r="E24" t="s">
        <v>543</v>
      </c>
    </row>
    <row r="25" spans="1:5" x14ac:dyDescent="0.35">
      <c r="D25" s="13" t="s">
        <v>557</v>
      </c>
      <c r="E25" s="13" t="s">
        <v>558</v>
      </c>
    </row>
    <row r="26" spans="1:5" x14ac:dyDescent="0.35">
      <c r="D26" s="16" t="s">
        <v>559</v>
      </c>
      <c r="E26" s="30">
        <v>18600</v>
      </c>
    </row>
    <row r="27" spans="1:5" x14ac:dyDescent="0.35">
      <c r="D27" s="23" t="s">
        <v>560</v>
      </c>
      <c r="E27" s="23"/>
    </row>
    <row r="28" spans="1:5" x14ac:dyDescent="0.35">
      <c r="D28" s="21" t="s">
        <v>561</v>
      </c>
      <c r="E28" s="21" t="s">
        <v>558</v>
      </c>
    </row>
    <row r="29" spans="1:5" x14ac:dyDescent="0.35">
      <c r="D29" s="21" t="s">
        <v>562</v>
      </c>
      <c r="E29" s="25" t="s">
        <v>563</v>
      </c>
    </row>
    <row r="30" spans="1:5" x14ac:dyDescent="0.35">
      <c r="D30" s="21" t="s">
        <v>549</v>
      </c>
      <c r="E30" s="21" t="s">
        <v>564</v>
      </c>
    </row>
    <row r="34" spans="2:2" ht="174" x14ac:dyDescent="0.35">
      <c r="B34" s="39" t="s">
        <v>565</v>
      </c>
    </row>
    <row r="38" spans="2:2" ht="246.5" x14ac:dyDescent="0.35">
      <c r="B38" s="40" t="s">
        <v>566</v>
      </c>
    </row>
    <row r="39" spans="2:2" ht="188.5" x14ac:dyDescent="0.35">
      <c r="B39" s="40" t="s">
        <v>567</v>
      </c>
    </row>
  </sheetData>
  <mergeCells count="1">
    <mergeCell ref="G1:J1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0.79998168889431442"/>
  </sheetPr>
  <dimension ref="A2:F18"/>
  <sheetViews>
    <sheetView workbookViewId="0">
      <selection activeCell="J14" sqref="J14"/>
    </sheetView>
  </sheetViews>
  <sheetFormatPr defaultRowHeight="14.5" x14ac:dyDescent="0.35"/>
  <cols>
    <col min="1" max="1" width="17.08984375" customWidth="1"/>
    <col min="2" max="2" width="16.54296875" customWidth="1"/>
    <col min="3" max="3" width="12.6328125" customWidth="1"/>
    <col min="4" max="4" width="17.36328125" customWidth="1"/>
    <col min="5" max="5" width="14.36328125" customWidth="1"/>
  </cols>
  <sheetData>
    <row r="2" spans="1:6" x14ac:dyDescent="0.35">
      <c r="A2" s="16" t="s">
        <v>568</v>
      </c>
      <c r="B2" s="16" t="s">
        <v>569</v>
      </c>
      <c r="C2" s="16" t="s">
        <v>160</v>
      </c>
      <c r="D2" s="16" t="s">
        <v>570</v>
      </c>
      <c r="E2" s="16" t="s">
        <v>571</v>
      </c>
      <c r="F2" s="16" t="s">
        <v>572</v>
      </c>
    </row>
    <row r="3" spans="1:6" x14ac:dyDescent="0.35">
      <c r="A3" s="17" t="s">
        <v>525</v>
      </c>
      <c r="B3" s="17" t="s">
        <v>573</v>
      </c>
      <c r="C3" s="17" t="s">
        <v>574</v>
      </c>
      <c r="D3" s="17">
        <v>20</v>
      </c>
      <c r="E3" s="17" t="s">
        <v>526</v>
      </c>
      <c r="F3" s="17" t="s">
        <v>239</v>
      </c>
    </row>
    <row r="4" spans="1:6" x14ac:dyDescent="0.35">
      <c r="A4" s="17" t="s">
        <v>527</v>
      </c>
      <c r="B4" s="17" t="s">
        <v>575</v>
      </c>
      <c r="C4" s="17" t="s">
        <v>576</v>
      </c>
      <c r="D4" s="17">
        <v>10</v>
      </c>
      <c r="E4" s="18">
        <v>46304</v>
      </c>
      <c r="F4" s="17" t="s">
        <v>440</v>
      </c>
    </row>
    <row r="5" spans="1:6" x14ac:dyDescent="0.35">
      <c r="A5" s="17" t="s">
        <v>528</v>
      </c>
      <c r="B5" s="17" t="s">
        <v>577</v>
      </c>
      <c r="C5" s="17" t="s">
        <v>576</v>
      </c>
      <c r="D5" s="17">
        <v>10</v>
      </c>
      <c r="E5" s="17" t="s">
        <v>529</v>
      </c>
      <c r="F5" s="17" t="s">
        <v>578</v>
      </c>
    </row>
    <row r="6" spans="1:6" x14ac:dyDescent="0.35">
      <c r="A6" s="17" t="s">
        <v>530</v>
      </c>
      <c r="B6" s="17" t="s">
        <v>579</v>
      </c>
      <c r="C6" s="17" t="s">
        <v>580</v>
      </c>
      <c r="D6" s="17">
        <v>3</v>
      </c>
      <c r="E6" s="17">
        <v>24</v>
      </c>
      <c r="F6" s="17" t="s">
        <v>581</v>
      </c>
    </row>
    <row r="7" spans="1:6" x14ac:dyDescent="0.35">
      <c r="A7" s="17" t="s">
        <v>532</v>
      </c>
      <c r="B7" s="17" t="s">
        <v>582</v>
      </c>
      <c r="C7" s="17" t="s">
        <v>583</v>
      </c>
      <c r="D7" s="17" t="s">
        <v>584</v>
      </c>
      <c r="E7" s="17">
        <v>1.67</v>
      </c>
      <c r="F7" s="17" t="s">
        <v>578</v>
      </c>
    </row>
    <row r="8" spans="1:6" x14ac:dyDescent="0.35">
      <c r="A8" s="17" t="s">
        <v>533</v>
      </c>
      <c r="B8" s="17" t="s">
        <v>585</v>
      </c>
      <c r="C8" s="17" t="s">
        <v>583</v>
      </c>
      <c r="D8" s="17" t="s">
        <v>586</v>
      </c>
      <c r="E8" s="17">
        <v>48</v>
      </c>
      <c r="F8" s="17" t="s">
        <v>578</v>
      </c>
    </row>
    <row r="9" spans="1:6" x14ac:dyDescent="0.35">
      <c r="A9" s="17" t="s">
        <v>535</v>
      </c>
      <c r="B9" s="17" t="s">
        <v>587</v>
      </c>
      <c r="C9" s="17" t="s">
        <v>583</v>
      </c>
      <c r="D9" s="17" t="s">
        <v>586</v>
      </c>
      <c r="E9" s="17">
        <v>17.21</v>
      </c>
      <c r="F9" s="17" t="s">
        <v>581</v>
      </c>
    </row>
    <row r="10" spans="1:6" x14ac:dyDescent="0.35">
      <c r="A10" s="17" t="s">
        <v>537</v>
      </c>
      <c r="B10" s="17" t="s">
        <v>588</v>
      </c>
      <c r="C10" s="17" t="s">
        <v>589</v>
      </c>
      <c r="D10" s="17">
        <v>50</v>
      </c>
      <c r="E10" s="17" t="s">
        <v>280</v>
      </c>
      <c r="F10" s="17" t="s">
        <v>239</v>
      </c>
    </row>
    <row r="11" spans="1:6" x14ac:dyDescent="0.35">
      <c r="A11" s="17" t="s">
        <v>539</v>
      </c>
      <c r="B11" s="17" t="s">
        <v>590</v>
      </c>
      <c r="C11" s="17" t="s">
        <v>580</v>
      </c>
      <c r="D11" s="17">
        <v>2</v>
      </c>
      <c r="E11" s="17">
        <v>3</v>
      </c>
      <c r="F11" s="17" t="s">
        <v>38</v>
      </c>
    </row>
    <row r="12" spans="1:6" x14ac:dyDescent="0.35">
      <c r="A12" s="17" t="s">
        <v>136</v>
      </c>
      <c r="B12" s="17" t="s">
        <v>591</v>
      </c>
      <c r="C12" s="17" t="s">
        <v>583</v>
      </c>
      <c r="D12" s="17" t="s">
        <v>592</v>
      </c>
      <c r="E12" s="26">
        <v>4000000</v>
      </c>
      <c r="F12" s="17" t="s">
        <v>38</v>
      </c>
    </row>
    <row r="13" spans="1:6" x14ac:dyDescent="0.35">
      <c r="A13" s="17" t="s">
        <v>152</v>
      </c>
      <c r="B13" s="17" t="s">
        <v>593</v>
      </c>
      <c r="C13" s="17" t="s">
        <v>589</v>
      </c>
      <c r="D13" s="17">
        <v>50</v>
      </c>
      <c r="E13" s="17" t="s">
        <v>543</v>
      </c>
      <c r="F13" s="17" t="s">
        <v>239</v>
      </c>
    </row>
    <row r="17" spans="2:2" ht="319" x14ac:dyDescent="0.35">
      <c r="B17" s="39" t="s">
        <v>594</v>
      </c>
    </row>
    <row r="18" spans="2:2" ht="174" x14ac:dyDescent="0.35">
      <c r="B18" s="39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Producto</vt:lpstr>
      <vt:lpstr>Planes</vt:lpstr>
      <vt:lpstr>Coberturas &amp; Asistencias</vt:lpstr>
      <vt:lpstr>ModeloNegocio</vt:lpstr>
      <vt:lpstr>Tarifas</vt:lpstr>
      <vt:lpstr>Suscripción </vt:lpstr>
      <vt:lpstr>Renovación</vt:lpstr>
      <vt:lpstr>Siniestros</vt:lpstr>
      <vt:lpstr>Contabilidad</vt:lpstr>
      <vt:lpstr>Cobranza</vt:lpstr>
      <vt:lpstr>Compliance (PLD)</vt:lpstr>
      <vt:lpstr>Comercial</vt:lpstr>
      <vt:lpstr>Revisión &amp; Aprobación</vt:lpstr>
      <vt:lpstr>Validación CNSF</vt:lpstr>
      <vt:lpstr>Reglas_Cotizador</vt:lpstr>
      <vt:lpstr>Diccionario_Entrada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Ynuen Flores González</dc:creator>
  <cp:lastModifiedBy>Oswaldo Alberto Perez Esguerra</cp:lastModifiedBy>
  <dcterms:created xsi:type="dcterms:W3CDTF">2026-09-10T17:38:11Z</dcterms:created>
  <dcterms:modified xsi:type="dcterms:W3CDTF">2026-09-17T23:23:56Z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0x010100C3C3048C06EE1E41BC764BE393B0FD2D</vt:lpwstr>
  </property>
  <property fmtid="{D5CDD505-2E9C-101B-9397-08002B2CF9AE}" pid="3" name="MediaServiceImageTags">
    <vt:lpwstr/>
  </property>
</Properties>
</file>